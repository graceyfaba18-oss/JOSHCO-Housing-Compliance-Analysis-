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 Debt" sheetId="1" state="visible" r:id="rId3"/>
    <sheet name="Credit by Typ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<sst xmlns="http://schemas.openxmlformats.org/spreadsheetml/2006/main" count="56" uniqueCount="30">
  <si>
    <t xml:space="preserve">SA Consumer Credit Market  |  Macro Debt Dashboard 2019–2024</t>
  </si>
  <si>
    <t xml:space="preserve">Author: Gracey F.  |  Sources: SARB Quarterly Bulletins | NCR CCMR  |  resbank.co.za | ncr.org.za  |  Green = formula</t>
  </si>
  <si>
    <t xml:space="preserve">Year</t>
  </si>
  <si>
    <t xml:space="preserve">Debt/Income
%</t>
  </si>
  <si>
    <t xml:space="preserve">Debt Service
%</t>
  </si>
  <si>
    <t xml:space="preserve">Total Debt
(R billion)</t>
  </si>
  <si>
    <t xml:space="preserve">Prime Rate
%</t>
  </si>
  <si>
    <t xml:space="preserve">Inflation
%</t>
  </si>
  <si>
    <t xml:space="preserve">Unemployment
%</t>
  </si>
  <si>
    <t xml:space="preserve">Confidence
Index</t>
  </si>
  <si>
    <t xml:space="preserve">Debt Change R bn
— Formula</t>
  </si>
  <si>
    <t xml:space="preserve">Rate Impact
— IF Formula</t>
  </si>
  <si>
    <t xml:space="preserve">Risk Level
— IF Formula</t>
  </si>
  <si>
    <t xml:space="preserve">—</t>
  </si>
  <si>
    <t xml:space="preserve">AVG / TOTAL</t>
  </si>
  <si>
    <t xml:space="preserve">SA Credit Market  |  Outstanding Credit by Type 2019–2024</t>
  </si>
  <si>
    <t xml:space="preserve">Author: Gracey F.  |  Source: NCR Consumer Credit Market Reports  |  ncr.org.za  |  Green = formula</t>
  </si>
  <si>
    <t xml:space="preserve">Credit Type</t>
  </si>
  <si>
    <t xml:space="preserve">Outstanding
(R billion)</t>
  </si>
  <si>
    <t xml:space="preserve">New Credit
(R billion)</t>
  </si>
  <si>
    <t xml:space="preserve">NCR Impairment
%</t>
  </si>
  <si>
    <t xml:space="preserve">YOY Growth
%</t>
  </si>
  <si>
    <t xml:space="preserve">Performing
Portfolio % — Formula</t>
  </si>
  <si>
    <t xml:space="preserve">Impaired Amt R bn
— Formula</t>
  </si>
  <si>
    <t xml:space="preserve">Risk Flag
— IF Formula</t>
  </si>
  <si>
    <t xml:space="preserve">Mortgage Loans</t>
  </si>
  <si>
    <t xml:space="preserve">Vehicle Finance</t>
  </si>
  <si>
    <t xml:space="preserve">Personal Loans</t>
  </si>
  <si>
    <t xml:space="preserve">Credit Cards</t>
  </si>
  <si>
    <t xml:space="preserve">Retail Accounts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</si>
</sst>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.0"/>
    <numFmt numFmtId="167" formatCode="0.00"/>
    <numFmt numFmtId="168" formatCode="0.1"/>
    <numFmt numFmtId="169" formatCode="@"/>
    <numFmt numFmtId="170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3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D1F2EB"/>
        <bgColor rgb="FFCCFFFF"/>
      </patternFill>
    </fill>
    <fill>
      <patternFill patternType="solid">
        <fgColor rgb="FFF2F3F4"/>
        <bgColor rgb="FFFFFFFF"/>
      </patternFill>
    </fill>
    <fill>
      <patternFill patternType="solid">
        <fgColor rgb="FFFFFFFF"/>
        <bgColor rgb="FFF2F3F4"/>
      </patternFill>
    </fill>
    <fill>
      <patternFill patternType="solid">
        <fgColor rgb="FFFADB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D9D9D9"/>
      <rgbColor rgb="FF878787"/>
      <rgbColor rgb="FF9999FF"/>
      <rgbColor rgb="FF993366"/>
      <rgbColor rgb="FFF2F3F4"/>
      <rgbColor rgb="FFD1F2E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Debt-to-Income Ratio 2019–2024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'Household Debt'!B4</c:f>
              <c:strCache>
                <c:ptCount val="1"/>
                <c:pt idx="0">
                  <c:v>Debt/Income
%</c:v>
                </c:pt>
              </c:strCache>
            </c:strRef>
          </c:tx>
          <c:spPr>
            <a:solidFill>
              <a:srgbClr val="c0392b"/>
            </a:solidFill>
            <a:ln w="2484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'Household Debt'!$A$5:$A$10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'Household Debt'!$B$5:$B$10</c:f>
              <c:numCache>
                <c:formatCode>0.0</c:formatCode>
                <c:ptCount val="6"/>
                <c:pt idx="0">
                  <c:v>72.5</c:v>
                </c:pt>
                <c:pt idx="1">
                  <c:v>75.8</c:v>
                </c:pt>
                <c:pt idx="2">
                  <c:v>75.1</c:v>
                </c:pt>
                <c:pt idx="3">
                  <c:v>68.2</c:v>
                </c:pt>
                <c:pt idx="4">
                  <c:v>65.4</c:v>
                </c:pt>
                <c:pt idx="5">
                  <c:v>62.5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065518"/>
        <c:axId val="88689843"/>
      </c:lineChart>
      <c:catAx>
        <c:axId val="32065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89843"/>
        <c:crosses val="autoZero"/>
        <c:auto val="1"/>
        <c:lblAlgn val="ctr"/>
        <c:lblOffset val="100"/>
        <c:noMultiLvlLbl val="0"/>
      </c:catAx>
      <c:valAx>
        <c:axId val="88689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65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25</xdr:col>
      <xdr:colOff>78480</xdr:colOff>
      <xdr:row>25</xdr:row>
      <xdr:rowOff>64440</xdr:rowOff>
    </xdr:to>
    <xdr:graphicFrame>
      <xdr:nvGraphicFramePr>
        <xdr:cNvPr id="0" name="Chart 1"/>
        <xdr:cNvGraphicFramePr/>
      </xdr:nvGraphicFramePr>
      <xdr:xfrm>
        <a:off x="10854720" y="952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1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2019</v>
      </c>
      <c r="B5" s="5" t="n">
        <v>72.5</v>
      </c>
      <c r="C5" s="5" t="n">
        <v>9.8</v>
      </c>
      <c r="D5" s="6" t="n">
        <v>2145.6</v>
      </c>
      <c r="E5" s="7" t="n">
        <v>10</v>
      </c>
      <c r="F5" s="8" t="n">
        <v>4.1</v>
      </c>
      <c r="G5" s="8" t="n">
        <v>28.7</v>
      </c>
      <c r="H5" s="4" t="n">
        <v>-7</v>
      </c>
      <c r="I5" s="9" t="s">
        <v>13</v>
      </c>
      <c r="J5" s="10" t="str">
        <f aca="false">IF(E5&gt;10,"High Pressure",IF(E5&gt;8,"Moderate","Low Pressure"))</f>
        <v>Moderate</v>
      </c>
      <c r="K5" s="10" t="str">
        <f aca="false">IF(B5&gt;70,"Critical",IF(B5&gt;65,"High",IF(B5&gt;60,"Moderate","Low")))</f>
        <v>Critical</v>
      </c>
    </row>
    <row r="6" customFormat="false" ht="15" hidden="false" customHeight="false" outlineLevel="0" collapsed="false">
      <c r="A6" s="11" t="n">
        <v>2020</v>
      </c>
      <c r="B6" s="12" t="n">
        <v>75.8</v>
      </c>
      <c r="C6" s="12" t="n">
        <v>10.2</v>
      </c>
      <c r="D6" s="13" t="n">
        <v>2234.5</v>
      </c>
      <c r="E6" s="14" t="n">
        <v>7</v>
      </c>
      <c r="F6" s="15" t="n">
        <v>3.3</v>
      </c>
      <c r="G6" s="15" t="n">
        <v>32.5</v>
      </c>
      <c r="H6" s="11" t="n">
        <v>-33</v>
      </c>
      <c r="I6" s="16" t="n">
        <f aca="false">ROUND(D6-D5,1)</f>
        <v>88.9</v>
      </c>
      <c r="J6" s="17" t="str">
        <f aca="false">IF(E6&gt;10,"High Pressure",IF(E6&gt;8,"Moderate","Low Pressure"))</f>
        <v>Low Pressure</v>
      </c>
      <c r="K6" s="17" t="str">
        <f aca="false">IF(B6&gt;70,"Critical",IF(B6&gt;65,"High",IF(B6&gt;60,"Moderate","Low")))</f>
        <v>Critical</v>
      </c>
    </row>
    <row r="7" customFormat="false" ht="15" hidden="false" customHeight="false" outlineLevel="0" collapsed="false">
      <c r="A7" s="4" t="n">
        <v>2021</v>
      </c>
      <c r="B7" s="5" t="n">
        <v>75.1</v>
      </c>
      <c r="C7" s="5" t="n">
        <v>9.6</v>
      </c>
      <c r="D7" s="6" t="n">
        <v>2312.3</v>
      </c>
      <c r="E7" s="7" t="n">
        <v>7</v>
      </c>
      <c r="F7" s="8" t="n">
        <v>4.5</v>
      </c>
      <c r="G7" s="8" t="n">
        <v>34.9</v>
      </c>
      <c r="H7" s="4" t="n">
        <v>-13</v>
      </c>
      <c r="I7" s="18" t="n">
        <f aca="false">ROUND(D7-D6,1)</f>
        <v>77.8</v>
      </c>
      <c r="J7" s="10" t="str">
        <f aca="false">IF(E7&gt;10,"High Pressure",IF(E7&gt;8,"Moderate","Low Pressure"))</f>
        <v>Low Pressure</v>
      </c>
      <c r="K7" s="10" t="str">
        <f aca="false">IF(B7&gt;70,"Critical",IF(B7&gt;65,"High",IF(B7&gt;60,"Moderate","Low")))</f>
        <v>Critical</v>
      </c>
    </row>
    <row r="8" customFormat="false" ht="15" hidden="false" customHeight="false" outlineLevel="0" collapsed="false">
      <c r="A8" s="11" t="n">
        <v>2022</v>
      </c>
      <c r="B8" s="12" t="n">
        <v>68.2</v>
      </c>
      <c r="C8" s="12" t="n">
        <v>9.9</v>
      </c>
      <c r="D8" s="13" t="n">
        <v>2389.4</v>
      </c>
      <c r="E8" s="14" t="n">
        <v>9.75</v>
      </c>
      <c r="F8" s="15" t="n">
        <v>6.9</v>
      </c>
      <c r="G8" s="15" t="n">
        <v>33.9</v>
      </c>
      <c r="H8" s="11" t="n">
        <v>-20</v>
      </c>
      <c r="I8" s="16" t="n">
        <f aca="false">ROUND(D8-D7,1)</f>
        <v>77.1</v>
      </c>
      <c r="J8" s="17" t="str">
        <f aca="false">IF(E8&gt;10,"High Pressure",IF(E8&gt;8,"Moderate","Low Pressure"))</f>
        <v>Moderate</v>
      </c>
      <c r="K8" s="17" t="str">
        <f aca="false">IF(B8&gt;70,"Critical",IF(B8&gt;65,"High",IF(B8&gt;60,"Moderate","Low")))</f>
        <v>High</v>
      </c>
    </row>
    <row r="9" customFormat="false" ht="15" hidden="false" customHeight="false" outlineLevel="0" collapsed="false">
      <c r="A9" s="4" t="n">
        <v>2023</v>
      </c>
      <c r="B9" s="5" t="n">
        <v>65.4</v>
      </c>
      <c r="C9" s="5" t="n">
        <v>10.8</v>
      </c>
      <c r="D9" s="6" t="n">
        <v>2456.7</v>
      </c>
      <c r="E9" s="7" t="n">
        <v>11.75</v>
      </c>
      <c r="F9" s="8" t="n">
        <v>5.4</v>
      </c>
      <c r="G9" s="8" t="n">
        <v>32.1</v>
      </c>
      <c r="H9" s="4" t="n">
        <v>-15</v>
      </c>
      <c r="I9" s="18" t="n">
        <f aca="false">ROUND(D9-D8,1)</f>
        <v>67.3</v>
      </c>
      <c r="J9" s="10" t="str">
        <f aca="false">IF(E9&gt;10,"High Pressure",IF(E9&gt;8,"Moderate","Low Pressure"))</f>
        <v>High Pressure</v>
      </c>
      <c r="K9" s="10" t="str">
        <f aca="false">IF(B9&gt;70,"Critical",IF(B9&gt;65,"High",IF(B9&gt;60,"Moderate","Low")))</f>
        <v>High</v>
      </c>
    </row>
    <row r="10" customFormat="false" ht="15" hidden="false" customHeight="false" outlineLevel="0" collapsed="false">
      <c r="A10" s="11" t="n">
        <v>2024</v>
      </c>
      <c r="B10" s="12" t="n">
        <v>62.5</v>
      </c>
      <c r="C10" s="12" t="n">
        <v>11.1</v>
      </c>
      <c r="D10" s="13" t="n">
        <v>2418.5</v>
      </c>
      <c r="E10" s="14" t="n">
        <v>11.25</v>
      </c>
      <c r="F10" s="15" t="n">
        <v>4.4</v>
      </c>
      <c r="G10" s="15" t="n">
        <v>33.5</v>
      </c>
      <c r="H10" s="11" t="n">
        <v>-10</v>
      </c>
      <c r="I10" s="16" t="n">
        <f aca="false">ROUND(D10-D9,1)</f>
        <v>-38.2</v>
      </c>
      <c r="J10" s="17" t="str">
        <f aca="false">IF(E10&gt;10,"High Pressure",IF(E10&gt;8,"Moderate","Low Pressure"))</f>
        <v>High Pressure</v>
      </c>
      <c r="K10" s="17" t="str">
        <f aca="false">IF(B10&gt;70,"Critical",IF(B10&gt;65,"High",IF(B10&gt;60,"Moderate","Low")))</f>
        <v>Moderate</v>
      </c>
    </row>
    <row r="11" customFormat="false" ht="23.85" hidden="false" customHeight="false" outlineLevel="0" collapsed="false">
      <c r="A11" s="19" t="s">
        <v>14</v>
      </c>
      <c r="B11" s="20" t="n">
        <f aca="false">AVERAGE(B5:B10)</f>
        <v>69.9166666666667</v>
      </c>
      <c r="C11" s="20" t="n">
        <f aca="false">AVERAGE(C5:C10)</f>
        <v>10.2333333333333</v>
      </c>
      <c r="D11" s="21" t="n">
        <f aca="false">AVERAGE(D5:D10)</f>
        <v>2326.16666666667</v>
      </c>
      <c r="E11" s="20" t="n">
        <f aca="false">AVERAGE(E5:E10)</f>
        <v>9.45833333333333</v>
      </c>
      <c r="F11" s="19"/>
      <c r="G11" s="19" t="n">
        <f aca="false">AVERAGE(G5:G10)</f>
        <v>32.6</v>
      </c>
      <c r="H11" s="19"/>
      <c r="I11" s="21" t="n">
        <f aca="false">ROUND(D10-D5,1)</f>
        <v>272.9</v>
      </c>
      <c r="J11" s="19"/>
      <c r="K11" s="1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42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</row>
    <row r="4" customFormat="false" ht="39.55" hidden="false" customHeight="false" outlineLevel="0" collapsed="false">
      <c r="A4" s="3" t="s">
        <v>2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customFormat="false" ht="15" hidden="false" customHeight="false" outlineLevel="0" collapsed="false">
      <c r="A5" s="4" t="n">
        <v>2019</v>
      </c>
      <c r="B5" s="4" t="s">
        <v>25</v>
      </c>
      <c r="C5" s="6" t="n">
        <v>892.3</v>
      </c>
      <c r="D5" s="6" t="n">
        <v>52.3</v>
      </c>
      <c r="E5" s="5" t="n">
        <v>21.2</v>
      </c>
      <c r="F5" s="5" t="n">
        <v>3.1</v>
      </c>
      <c r="G5" s="22" t="n">
        <f aca="false">IFERROR(ROUND((1-E5/100)*100,2),0)</f>
        <v>78.8</v>
      </c>
      <c r="H5" s="23" t="n">
        <f aca="false">IFERROR(ROUND(C5*E5/100,2),0)</f>
        <v>189.17</v>
      </c>
      <c r="I5" s="10" t="str">
        <f aca="false">IF(E5&gt;=40,"HIGH RISK",IF(E5&gt;=30,"MEDIUM","LOW"))</f>
        <v>LOW</v>
      </c>
    </row>
    <row r="6" customFormat="false" ht="15" hidden="false" customHeight="false" outlineLevel="0" collapsed="false">
      <c r="A6" s="11" t="n">
        <v>2019</v>
      </c>
      <c r="B6" s="11" t="s">
        <v>26</v>
      </c>
      <c r="C6" s="13" t="n">
        <v>423.6</v>
      </c>
      <c r="D6" s="13" t="n">
        <v>89.4</v>
      </c>
      <c r="E6" s="12" t="n">
        <v>23.5</v>
      </c>
      <c r="F6" s="12" t="n">
        <v>4.2</v>
      </c>
      <c r="G6" s="24" t="n">
        <f aca="false">IFERROR(ROUND((1-E6/100)*100,2),0)</f>
        <v>76.5</v>
      </c>
      <c r="H6" s="25" t="n">
        <f aca="false">IFERROR(ROUND(C6*E6/100,2),0)</f>
        <v>99.55</v>
      </c>
      <c r="I6" s="17" t="str">
        <f aca="false">IF(E6&gt;=40,"HIGH RISK",IF(E6&gt;=30,"MEDIUM","LOW"))</f>
        <v>LOW</v>
      </c>
    </row>
    <row r="7" customFormat="false" ht="15" hidden="false" customHeight="false" outlineLevel="0" collapsed="false">
      <c r="A7" s="4" t="n">
        <v>2019</v>
      </c>
      <c r="B7" s="4" t="s">
        <v>27</v>
      </c>
      <c r="C7" s="6" t="n">
        <v>334.5</v>
      </c>
      <c r="D7" s="6" t="n">
        <v>45.6</v>
      </c>
      <c r="E7" s="5" t="n">
        <v>40.1</v>
      </c>
      <c r="F7" s="5" t="n">
        <v>-1.2</v>
      </c>
      <c r="G7" s="22" t="n">
        <f aca="false">IFERROR(ROUND((1-E7/100)*100,2),0)</f>
        <v>59.9</v>
      </c>
      <c r="H7" s="23" t="n">
        <f aca="false">IFERROR(ROUND(C7*E7/100,2),0)</f>
        <v>134.13</v>
      </c>
      <c r="I7" s="26" t="str">
        <f aca="false">IF(E7&gt;=40,"HIGH RISK",IF(E7&gt;=30,"MEDIUM","LOW"))</f>
        <v>HIGH RISK</v>
      </c>
    </row>
    <row r="8" customFormat="false" ht="15" hidden="false" customHeight="false" outlineLevel="0" collapsed="false">
      <c r="A8" s="11" t="n">
        <v>2019</v>
      </c>
      <c r="B8" s="11" t="s">
        <v>28</v>
      </c>
      <c r="C8" s="13" t="n">
        <v>212.4</v>
      </c>
      <c r="D8" s="13" t="n">
        <v>34.5</v>
      </c>
      <c r="E8" s="12" t="n">
        <v>29.8</v>
      </c>
      <c r="F8" s="12" t="n">
        <v>1.8</v>
      </c>
      <c r="G8" s="24" t="n">
        <f aca="false">IFERROR(ROUND((1-E8/100)*100,2),0)</f>
        <v>70.2</v>
      </c>
      <c r="H8" s="25" t="n">
        <f aca="false">IFERROR(ROUND(C8*E8/100,2),0)</f>
        <v>63.3</v>
      </c>
      <c r="I8" s="17" t="str">
        <f aca="false">IF(E8&gt;=40,"HIGH RISK",IF(E8&gt;=30,"MEDIUM","LOW"))</f>
        <v>LOW</v>
      </c>
    </row>
    <row r="9" customFormat="false" ht="15" hidden="false" customHeight="false" outlineLevel="0" collapsed="false">
      <c r="A9" s="4" t="n">
        <v>2019</v>
      </c>
      <c r="B9" s="4" t="s">
        <v>29</v>
      </c>
      <c r="C9" s="6" t="n">
        <v>127.4</v>
      </c>
      <c r="D9" s="6" t="n">
        <v>24.8</v>
      </c>
      <c r="E9" s="5" t="n">
        <v>42.3</v>
      </c>
      <c r="F9" s="5" t="n">
        <v>-2.1</v>
      </c>
      <c r="G9" s="22" t="n">
        <f aca="false">IFERROR(ROUND((1-E9/100)*100,2),0)</f>
        <v>57.7</v>
      </c>
      <c r="H9" s="23" t="n">
        <f aca="false">IFERROR(ROUND(C9*E9/100,2),0)</f>
        <v>53.89</v>
      </c>
      <c r="I9" s="26" t="str">
        <f aca="false">IF(E9&gt;=40,"HIGH RISK",IF(E9&gt;=30,"MEDIUM","LOW"))</f>
        <v>HIGH RISK</v>
      </c>
    </row>
    <row r="10" customFormat="false" ht="15" hidden="false" customHeight="false" outlineLevel="0" collapsed="false">
      <c r="A10" s="11" t="n">
        <v>2020</v>
      </c>
      <c r="B10" s="11" t="s">
        <v>25</v>
      </c>
      <c r="C10" s="13" t="n">
        <v>901.2</v>
      </c>
      <c r="D10" s="13" t="n">
        <v>34.2</v>
      </c>
      <c r="E10" s="12" t="n">
        <v>22.8</v>
      </c>
      <c r="F10" s="12" t="n">
        <v>1</v>
      </c>
      <c r="G10" s="24" t="n">
        <f aca="false">IFERROR(ROUND((1-E10/100)*100,2),0)</f>
        <v>77.2</v>
      </c>
      <c r="H10" s="25" t="n">
        <f aca="false">IFERROR(ROUND(C10*E10/100,2),0)</f>
        <v>205.47</v>
      </c>
      <c r="I10" s="17" t="str">
        <f aca="false">IF(E10&gt;=40,"HIGH RISK",IF(E10&gt;=30,"MEDIUM","LOW"))</f>
        <v>LOW</v>
      </c>
    </row>
    <row r="11" customFormat="false" ht="15" hidden="false" customHeight="false" outlineLevel="0" collapsed="false">
      <c r="A11" s="4" t="n">
        <v>2020</v>
      </c>
      <c r="B11" s="4" t="s">
        <v>26</v>
      </c>
      <c r="C11" s="6" t="n">
        <v>412.3</v>
      </c>
      <c r="D11" s="6" t="n">
        <v>56.7</v>
      </c>
      <c r="E11" s="5" t="n">
        <v>25.6</v>
      </c>
      <c r="F11" s="5" t="n">
        <v>-2.7</v>
      </c>
      <c r="G11" s="22" t="n">
        <f aca="false">IFERROR(ROUND((1-E11/100)*100,2),0)</f>
        <v>74.4</v>
      </c>
      <c r="H11" s="23" t="n">
        <f aca="false">IFERROR(ROUND(C11*E11/100,2),0)</f>
        <v>105.55</v>
      </c>
      <c r="I11" s="10" t="str">
        <f aca="false">IF(E11&gt;=40,"HIGH RISK",IF(E11&gt;=30,"MEDIUM","LOW"))</f>
        <v>LOW</v>
      </c>
    </row>
    <row r="12" customFormat="false" ht="15" hidden="false" customHeight="false" outlineLevel="0" collapsed="false">
      <c r="A12" s="11" t="n">
        <v>2020</v>
      </c>
      <c r="B12" s="11" t="s">
        <v>27</v>
      </c>
      <c r="C12" s="13" t="n">
        <v>312.4</v>
      </c>
      <c r="D12" s="13" t="n">
        <v>28.4</v>
      </c>
      <c r="E12" s="12" t="n">
        <v>43.2</v>
      </c>
      <c r="F12" s="12" t="n">
        <v>-6.6</v>
      </c>
      <c r="G12" s="24" t="n">
        <f aca="false">IFERROR(ROUND((1-E12/100)*100,2),0)</f>
        <v>56.8</v>
      </c>
      <c r="H12" s="25" t="n">
        <f aca="false">IFERROR(ROUND(C12*E12/100,2),0)</f>
        <v>134.96</v>
      </c>
      <c r="I12" s="26" t="str">
        <f aca="false">IF(E12&gt;=40,"HIGH RISK",IF(E12&gt;=30,"MEDIUM","LOW"))</f>
        <v>HIGH RISK</v>
      </c>
    </row>
    <row r="13" customFormat="false" ht="15" hidden="false" customHeight="false" outlineLevel="0" collapsed="false">
      <c r="A13" s="4" t="n">
        <v>2020</v>
      </c>
      <c r="B13" s="4" t="s">
        <v>28</v>
      </c>
      <c r="C13" s="6" t="n">
        <v>198.4</v>
      </c>
      <c r="D13" s="6" t="n">
        <v>18.9</v>
      </c>
      <c r="E13" s="5" t="n">
        <v>32.4</v>
      </c>
      <c r="F13" s="5" t="n">
        <v>-6.6</v>
      </c>
      <c r="G13" s="22" t="n">
        <f aca="false">IFERROR(ROUND((1-E13/100)*100,2),0)</f>
        <v>67.6</v>
      </c>
      <c r="H13" s="23" t="n">
        <f aca="false">IFERROR(ROUND(C13*E13/100,2),0)</f>
        <v>64.28</v>
      </c>
      <c r="I13" s="10" t="str">
        <f aca="false">IF(E13&gt;=40,"HIGH RISK",IF(E13&gt;=30,"MEDIUM","LOW"))</f>
        <v>MEDIUM</v>
      </c>
    </row>
    <row r="14" customFormat="false" ht="15" hidden="false" customHeight="false" outlineLevel="0" collapsed="false">
      <c r="A14" s="11" t="n">
        <v>2020</v>
      </c>
      <c r="B14" s="11" t="s">
        <v>29</v>
      </c>
      <c r="C14" s="13" t="n">
        <v>118.9</v>
      </c>
      <c r="D14" s="13" t="n">
        <v>14.2</v>
      </c>
      <c r="E14" s="12" t="n">
        <v>44.8</v>
      </c>
      <c r="F14" s="12" t="n">
        <v>-6.7</v>
      </c>
      <c r="G14" s="24" t="n">
        <f aca="false">IFERROR(ROUND((1-E14/100)*100,2),0)</f>
        <v>55.2</v>
      </c>
      <c r="H14" s="25" t="n">
        <f aca="false">IFERROR(ROUND(C14*E14/100,2),0)</f>
        <v>53.27</v>
      </c>
      <c r="I14" s="26" t="str">
        <f aca="false">IF(E14&gt;=40,"HIGH RISK",IF(E14&gt;=30,"MEDIUM","LOW"))</f>
        <v>HIGH RISK</v>
      </c>
    </row>
    <row r="15" customFormat="false" ht="15" hidden="false" customHeight="false" outlineLevel="0" collapsed="false">
      <c r="A15" s="4" t="n">
        <v>2021</v>
      </c>
      <c r="B15" s="4" t="s">
        <v>25</v>
      </c>
      <c r="C15" s="6" t="n">
        <v>934.5</v>
      </c>
      <c r="D15" s="6" t="n">
        <v>58.9</v>
      </c>
      <c r="E15" s="5" t="n">
        <v>22.1</v>
      </c>
      <c r="F15" s="5" t="n">
        <v>3.7</v>
      </c>
      <c r="G15" s="22" t="n">
        <f aca="false">IFERROR(ROUND((1-E15/100)*100,2),0)</f>
        <v>77.9</v>
      </c>
      <c r="H15" s="23" t="n">
        <f aca="false">IFERROR(ROUND(C15*E15/100,2),0)</f>
        <v>206.52</v>
      </c>
      <c r="I15" s="10" t="str">
        <f aca="false">IF(E15&gt;=40,"HIGH RISK",IF(E15&gt;=30,"MEDIUM","LOW"))</f>
        <v>LOW</v>
      </c>
    </row>
    <row r="16" customFormat="false" ht="15" hidden="false" customHeight="false" outlineLevel="0" collapsed="false">
      <c r="A16" s="11" t="n">
        <v>2021</v>
      </c>
      <c r="B16" s="11" t="s">
        <v>26</v>
      </c>
      <c r="C16" s="13" t="n">
        <v>434.5</v>
      </c>
      <c r="D16" s="13" t="n">
        <v>98.4</v>
      </c>
      <c r="E16" s="12" t="n">
        <v>24.3</v>
      </c>
      <c r="F16" s="12" t="n">
        <v>5.4</v>
      </c>
      <c r="G16" s="24" t="n">
        <f aca="false">IFERROR(ROUND((1-E16/100)*100,2),0)</f>
        <v>75.7</v>
      </c>
      <c r="H16" s="25" t="n">
        <f aca="false">IFERROR(ROUND(C16*E16/100,2),0)</f>
        <v>105.58</v>
      </c>
      <c r="I16" s="17" t="str">
        <f aca="false">IF(E16&gt;=40,"HIGH RISK",IF(E16&gt;=30,"MEDIUM","LOW"))</f>
        <v>LOW</v>
      </c>
    </row>
    <row r="17" customFormat="false" ht="15" hidden="false" customHeight="false" outlineLevel="0" collapsed="false">
      <c r="A17" s="4" t="n">
        <v>2021</v>
      </c>
      <c r="B17" s="4" t="s">
        <v>27</v>
      </c>
      <c r="C17" s="6" t="n">
        <v>323.4</v>
      </c>
      <c r="D17" s="6" t="n">
        <v>42.1</v>
      </c>
      <c r="E17" s="5" t="n">
        <v>42.1</v>
      </c>
      <c r="F17" s="5" t="n">
        <v>3.5</v>
      </c>
      <c r="G17" s="22" t="n">
        <f aca="false">IFERROR(ROUND((1-E17/100)*100,2),0)</f>
        <v>57.9</v>
      </c>
      <c r="H17" s="23" t="n">
        <f aca="false">IFERROR(ROUND(C17*E17/100,2),0)</f>
        <v>136.15</v>
      </c>
      <c r="I17" s="26" t="str">
        <f aca="false">IF(E17&gt;=40,"HIGH RISK",IF(E17&gt;=30,"MEDIUM","LOW"))</f>
        <v>HIGH RISK</v>
      </c>
    </row>
    <row r="18" customFormat="false" ht="15" hidden="false" customHeight="false" outlineLevel="0" collapsed="false">
      <c r="A18" s="11" t="n">
        <v>2021</v>
      </c>
      <c r="B18" s="11" t="s">
        <v>28</v>
      </c>
      <c r="C18" s="13" t="n">
        <v>204.5</v>
      </c>
      <c r="D18" s="13" t="n">
        <v>32.4</v>
      </c>
      <c r="E18" s="12" t="n">
        <v>31.2</v>
      </c>
      <c r="F18" s="12" t="n">
        <v>3.1</v>
      </c>
      <c r="G18" s="24" t="n">
        <f aca="false">IFERROR(ROUND((1-E18/100)*100,2),0)</f>
        <v>68.8</v>
      </c>
      <c r="H18" s="25" t="n">
        <f aca="false">IFERROR(ROUND(C18*E18/100,2),0)</f>
        <v>63.8</v>
      </c>
      <c r="I18" s="17" t="str">
        <f aca="false">IF(E18&gt;=40,"HIGH RISK",IF(E18&gt;=30,"MEDIUM","LOW"))</f>
        <v>MEDIUM</v>
      </c>
    </row>
    <row r="19" customFormat="false" ht="15" hidden="false" customHeight="false" outlineLevel="0" collapsed="false">
      <c r="A19" s="4" t="n">
        <v>2021</v>
      </c>
      <c r="B19" s="4" t="s">
        <v>29</v>
      </c>
      <c r="C19" s="6" t="n">
        <v>115.4</v>
      </c>
      <c r="D19" s="6" t="n">
        <v>22.3</v>
      </c>
      <c r="E19" s="5" t="n">
        <v>43.2</v>
      </c>
      <c r="F19" s="5" t="n">
        <v>-3</v>
      </c>
      <c r="G19" s="22" t="n">
        <f aca="false">IFERROR(ROUND((1-E19/100)*100,2),0)</f>
        <v>56.8</v>
      </c>
      <c r="H19" s="23" t="n">
        <f aca="false">IFERROR(ROUND(C19*E19/100,2),0)</f>
        <v>49.85</v>
      </c>
      <c r="I19" s="26" t="str">
        <f aca="false">IF(E19&gt;=40,"HIGH RISK",IF(E19&gt;=30,"MEDIUM","LOW"))</f>
        <v>HIGH RISK</v>
      </c>
    </row>
    <row r="20" customFormat="false" ht="15" hidden="false" customHeight="false" outlineLevel="0" collapsed="false">
      <c r="A20" s="11" t="n">
        <v>2022</v>
      </c>
      <c r="B20" s="11" t="s">
        <v>25</v>
      </c>
      <c r="C20" s="13" t="n">
        <v>967.8</v>
      </c>
      <c r="D20" s="13" t="n">
        <v>67.8</v>
      </c>
      <c r="E20" s="12" t="n">
        <v>21.8</v>
      </c>
      <c r="F20" s="12" t="n">
        <v>3.6</v>
      </c>
      <c r="G20" s="24" t="n">
        <f aca="false">IFERROR(ROUND((1-E20/100)*100,2),0)</f>
        <v>78.2</v>
      </c>
      <c r="H20" s="25" t="n">
        <f aca="false">IFERROR(ROUND(C20*E20/100,2),0)</f>
        <v>210.98</v>
      </c>
      <c r="I20" s="17" t="str">
        <f aca="false">IF(E20&gt;=40,"HIGH RISK",IF(E20&gt;=30,"MEDIUM","LOW"))</f>
        <v>LOW</v>
      </c>
    </row>
    <row r="21" customFormat="false" ht="15" hidden="false" customHeight="false" outlineLevel="0" collapsed="false">
      <c r="A21" s="4" t="n">
        <v>2022</v>
      </c>
      <c r="B21" s="4" t="s">
        <v>26</v>
      </c>
      <c r="C21" s="6" t="n">
        <v>467.8</v>
      </c>
      <c r="D21" s="6" t="n">
        <v>112.3</v>
      </c>
      <c r="E21" s="5" t="n">
        <v>23.8</v>
      </c>
      <c r="F21" s="5" t="n">
        <v>7.7</v>
      </c>
      <c r="G21" s="22" t="n">
        <f aca="false">IFERROR(ROUND((1-E21/100)*100,2),0)</f>
        <v>76.2</v>
      </c>
      <c r="H21" s="23" t="n">
        <f aca="false">IFERROR(ROUND(C21*E21/100,2),0)</f>
        <v>111.34</v>
      </c>
      <c r="I21" s="10" t="str">
        <f aca="false">IF(E21&gt;=40,"HIGH RISK",IF(E21&gt;=30,"MEDIUM","LOW"))</f>
        <v>LOW</v>
      </c>
    </row>
    <row r="22" customFormat="false" ht="15" hidden="false" customHeight="false" outlineLevel="0" collapsed="false">
      <c r="A22" s="11" t="n">
        <v>2022</v>
      </c>
      <c r="B22" s="11" t="s">
        <v>27</v>
      </c>
      <c r="C22" s="13" t="n">
        <v>345.6</v>
      </c>
      <c r="D22" s="13" t="n">
        <v>52.3</v>
      </c>
      <c r="E22" s="12" t="n">
        <v>41.5</v>
      </c>
      <c r="F22" s="12" t="n">
        <v>6.9</v>
      </c>
      <c r="G22" s="24" t="n">
        <f aca="false">IFERROR(ROUND((1-E22/100)*100,2),0)</f>
        <v>58.5</v>
      </c>
      <c r="H22" s="25" t="n">
        <f aca="false">IFERROR(ROUND(C22*E22/100,2),0)</f>
        <v>143.42</v>
      </c>
      <c r="I22" s="26" t="str">
        <f aca="false">IF(E22&gt;=40,"HIGH RISK",IF(E22&gt;=30,"MEDIUM","LOW"))</f>
        <v>HIGH RISK</v>
      </c>
    </row>
    <row r="23" customFormat="false" ht="15" hidden="false" customHeight="false" outlineLevel="0" collapsed="false">
      <c r="A23" s="4" t="n">
        <v>2022</v>
      </c>
      <c r="B23" s="4" t="s">
        <v>28</v>
      </c>
      <c r="C23" s="6" t="n">
        <v>212.3</v>
      </c>
      <c r="D23" s="6" t="n">
        <v>38.9</v>
      </c>
      <c r="E23" s="5" t="n">
        <v>30.5</v>
      </c>
      <c r="F23" s="5" t="n">
        <v>3.8</v>
      </c>
      <c r="G23" s="22" t="n">
        <f aca="false">IFERROR(ROUND((1-E23/100)*100,2),0)</f>
        <v>69.5</v>
      </c>
      <c r="H23" s="23" t="n">
        <f aca="false">IFERROR(ROUND(C23*E23/100,2),0)</f>
        <v>64.75</v>
      </c>
      <c r="I23" s="10" t="str">
        <f aca="false">IF(E23&gt;=40,"HIGH RISK",IF(E23&gt;=30,"MEDIUM","LOW"))</f>
        <v>MEDIUM</v>
      </c>
    </row>
    <row r="24" customFormat="false" ht="15" hidden="false" customHeight="false" outlineLevel="0" collapsed="false">
      <c r="A24" s="11" t="n">
        <v>2022</v>
      </c>
      <c r="B24" s="11" t="s">
        <v>29</v>
      </c>
      <c r="C24" s="13" t="n">
        <v>104.8</v>
      </c>
      <c r="D24" s="13" t="n">
        <v>24.5</v>
      </c>
      <c r="E24" s="12" t="n">
        <v>42.8</v>
      </c>
      <c r="F24" s="12" t="n">
        <v>-9.2</v>
      </c>
      <c r="G24" s="24" t="n">
        <f aca="false">IFERROR(ROUND((1-E24/100)*100,2),0)</f>
        <v>57.2</v>
      </c>
      <c r="H24" s="25" t="n">
        <f aca="false">IFERROR(ROUND(C24*E24/100,2),0)</f>
        <v>44.85</v>
      </c>
      <c r="I24" s="26" t="str">
        <f aca="false">IF(E24&gt;=40,"HIGH RISK",IF(E24&gt;=30,"MEDIUM","LOW"))</f>
        <v>HIGH RISK</v>
      </c>
    </row>
    <row r="25" customFormat="false" ht="15" hidden="false" customHeight="false" outlineLevel="0" collapsed="false">
      <c r="A25" s="4" t="n">
        <v>2023</v>
      </c>
      <c r="B25" s="4" t="s">
        <v>25</v>
      </c>
      <c r="C25" s="6" t="n">
        <v>1001.2</v>
      </c>
      <c r="D25" s="6" t="n">
        <v>71.2</v>
      </c>
      <c r="E25" s="5" t="n">
        <v>22</v>
      </c>
      <c r="F25" s="5" t="n">
        <v>3.5</v>
      </c>
      <c r="G25" s="22" t="n">
        <f aca="false">IFERROR(ROUND((1-E25/100)*100,2),0)</f>
        <v>78</v>
      </c>
      <c r="H25" s="23" t="n">
        <f aca="false">IFERROR(ROUND(C25*E25/100,2),0)</f>
        <v>220.26</v>
      </c>
      <c r="I25" s="10" t="str">
        <f aca="false">IF(E25&gt;=40,"HIGH RISK",IF(E25&gt;=30,"MEDIUM","LOW"))</f>
        <v>LOW</v>
      </c>
    </row>
    <row r="26" customFormat="false" ht="15" hidden="false" customHeight="false" outlineLevel="0" collapsed="false">
      <c r="A26" s="11" t="n">
        <v>2023</v>
      </c>
      <c r="B26" s="11" t="s">
        <v>26</v>
      </c>
      <c r="C26" s="13" t="n">
        <v>498.7</v>
      </c>
      <c r="D26" s="13" t="n">
        <v>118.9</v>
      </c>
      <c r="E26" s="12" t="n">
        <v>23.9</v>
      </c>
      <c r="F26" s="12" t="n">
        <v>6.6</v>
      </c>
      <c r="G26" s="24" t="n">
        <f aca="false">IFERROR(ROUND((1-E26/100)*100,2),0)</f>
        <v>76.1</v>
      </c>
      <c r="H26" s="25" t="n">
        <f aca="false">IFERROR(ROUND(C26*E26/100,2),0)</f>
        <v>119.19</v>
      </c>
      <c r="I26" s="17" t="str">
        <f aca="false">IF(E26&gt;=40,"HIGH RISK",IF(E26&gt;=30,"MEDIUM","LOW"))</f>
        <v>LOW</v>
      </c>
    </row>
    <row r="27" customFormat="false" ht="15" hidden="false" customHeight="false" outlineLevel="0" collapsed="false">
      <c r="A27" s="4" t="n">
        <v>2023</v>
      </c>
      <c r="B27" s="4" t="s">
        <v>27</v>
      </c>
      <c r="C27" s="6" t="n">
        <v>367.8</v>
      </c>
      <c r="D27" s="6" t="n">
        <v>56.7</v>
      </c>
      <c r="E27" s="5" t="n">
        <v>41.8</v>
      </c>
      <c r="F27" s="5" t="n">
        <v>6.4</v>
      </c>
      <c r="G27" s="22" t="n">
        <f aca="false">IFERROR(ROUND((1-E27/100)*100,2),0)</f>
        <v>58.2</v>
      </c>
      <c r="H27" s="23" t="n">
        <f aca="false">IFERROR(ROUND(C27*E27/100,2),0)</f>
        <v>153.74</v>
      </c>
      <c r="I27" s="26" t="str">
        <f aca="false">IF(E27&gt;=40,"HIGH RISK",IF(E27&gt;=30,"MEDIUM","LOW"))</f>
        <v>HIGH RISK</v>
      </c>
    </row>
    <row r="28" customFormat="false" ht="15" hidden="false" customHeight="false" outlineLevel="0" collapsed="false">
      <c r="A28" s="11" t="n">
        <v>2023</v>
      </c>
      <c r="B28" s="11" t="s">
        <v>28</v>
      </c>
      <c r="C28" s="13" t="n">
        <v>234.5</v>
      </c>
      <c r="D28" s="13" t="n">
        <v>42.3</v>
      </c>
      <c r="E28" s="12" t="n">
        <v>30.1</v>
      </c>
      <c r="F28" s="12" t="n">
        <v>10.5</v>
      </c>
      <c r="G28" s="24" t="n">
        <f aca="false">IFERROR(ROUND((1-E28/100)*100,2),0)</f>
        <v>69.9</v>
      </c>
      <c r="H28" s="25" t="n">
        <f aca="false">IFERROR(ROUND(C28*E28/100,2),0)</f>
        <v>70.58</v>
      </c>
      <c r="I28" s="17" t="str">
        <f aca="false">IF(E28&gt;=40,"HIGH RISK",IF(E28&gt;=30,"MEDIUM","LOW"))</f>
        <v>MEDIUM</v>
      </c>
    </row>
    <row r="29" customFormat="false" ht="15" hidden="false" customHeight="false" outlineLevel="0" collapsed="false">
      <c r="A29" s="4" t="n">
        <v>2023</v>
      </c>
      <c r="B29" s="4" t="s">
        <v>29</v>
      </c>
      <c r="C29" s="6" t="n">
        <v>110.3</v>
      </c>
      <c r="D29" s="6" t="n">
        <v>25.6</v>
      </c>
      <c r="E29" s="5" t="n">
        <v>43</v>
      </c>
      <c r="F29" s="5" t="n">
        <v>5.2</v>
      </c>
      <c r="G29" s="22" t="n">
        <f aca="false">IFERROR(ROUND((1-E29/100)*100,2),0)</f>
        <v>57</v>
      </c>
      <c r="H29" s="23" t="n">
        <f aca="false">IFERROR(ROUND(C29*E29/100,2),0)</f>
        <v>47.43</v>
      </c>
      <c r="I29" s="26" t="str">
        <f aca="false">IF(E29&gt;=40,"HIGH RISK",IF(E29&gt;=30,"MEDIUM","LOW"))</f>
        <v>HIGH RISK</v>
      </c>
    </row>
    <row r="30" customFormat="false" ht="15" hidden="false" customHeight="false" outlineLevel="0" collapsed="false">
      <c r="A30" s="11" t="n">
        <v>2024</v>
      </c>
      <c r="B30" s="11" t="s">
        <v>25</v>
      </c>
      <c r="C30" s="13" t="n">
        <v>1023.4</v>
      </c>
      <c r="D30" s="13" t="n">
        <v>68.9</v>
      </c>
      <c r="E30" s="12" t="n">
        <v>22.5</v>
      </c>
      <c r="F30" s="12" t="n">
        <v>2.2</v>
      </c>
      <c r="G30" s="24" t="n">
        <f aca="false">IFERROR(ROUND((1-E30/100)*100,2),0)</f>
        <v>77.5</v>
      </c>
      <c r="H30" s="25" t="n">
        <f aca="false">IFERROR(ROUND(C30*E30/100,2),0)</f>
        <v>230.27</v>
      </c>
      <c r="I30" s="17" t="str">
        <f aca="false">IF(E30&gt;=40,"HIGH RISK",IF(E30&gt;=30,"MEDIUM","LOW"))</f>
        <v>LOW</v>
      </c>
    </row>
    <row r="31" customFormat="false" ht="15" hidden="false" customHeight="false" outlineLevel="0" collapsed="false">
      <c r="A31" s="4" t="n">
        <v>2024</v>
      </c>
      <c r="B31" s="4" t="s">
        <v>26</v>
      </c>
      <c r="C31" s="6" t="n">
        <v>512.3</v>
      </c>
      <c r="D31" s="6" t="n">
        <v>112.4</v>
      </c>
      <c r="E31" s="5" t="n">
        <v>24</v>
      </c>
      <c r="F31" s="5" t="n">
        <v>2.7</v>
      </c>
      <c r="G31" s="22" t="n">
        <f aca="false">IFERROR(ROUND((1-E31/100)*100,2),0)</f>
        <v>76</v>
      </c>
      <c r="H31" s="23" t="n">
        <f aca="false">IFERROR(ROUND(C31*E31/100,2),0)</f>
        <v>122.95</v>
      </c>
      <c r="I31" s="10" t="str">
        <f aca="false">IF(E31&gt;=40,"HIGH RISK",IF(E31&gt;=30,"MEDIUM","LOW"))</f>
        <v>LOW</v>
      </c>
    </row>
    <row r="32" customFormat="false" ht="15" hidden="false" customHeight="false" outlineLevel="0" collapsed="false">
      <c r="A32" s="11" t="n">
        <v>2024</v>
      </c>
      <c r="B32" s="11" t="s">
        <v>27</v>
      </c>
      <c r="C32" s="13" t="n">
        <v>389.4</v>
      </c>
      <c r="D32" s="13" t="n">
        <v>58.9</v>
      </c>
      <c r="E32" s="12" t="n">
        <v>41</v>
      </c>
      <c r="F32" s="12" t="n">
        <v>5.9</v>
      </c>
      <c r="G32" s="24" t="n">
        <f aca="false">IFERROR(ROUND((1-E32/100)*100,2),0)</f>
        <v>59</v>
      </c>
      <c r="H32" s="25" t="n">
        <f aca="false">IFERROR(ROUND(C32*E32/100,2),0)</f>
        <v>159.65</v>
      </c>
      <c r="I32" s="26" t="str">
        <f aca="false">IF(E32&gt;=40,"HIGH RISK",IF(E32&gt;=30,"MEDIUM","LOW"))</f>
        <v>HIGH RISK</v>
      </c>
    </row>
    <row r="33" customFormat="false" ht="15" hidden="false" customHeight="false" outlineLevel="0" collapsed="false">
      <c r="A33" s="4" t="n">
        <v>2024</v>
      </c>
      <c r="B33" s="4" t="s">
        <v>28</v>
      </c>
      <c r="C33" s="6" t="n">
        <v>245.6</v>
      </c>
      <c r="D33" s="6" t="n">
        <v>41.2</v>
      </c>
      <c r="E33" s="5" t="n">
        <v>30</v>
      </c>
      <c r="F33" s="5" t="n">
        <v>4.7</v>
      </c>
      <c r="G33" s="22" t="n">
        <f aca="false">IFERROR(ROUND((1-E33/100)*100,2),0)</f>
        <v>70</v>
      </c>
      <c r="H33" s="23" t="n">
        <f aca="false">IFERROR(ROUND(C33*E33/100,2),0)</f>
        <v>73.68</v>
      </c>
      <c r="I33" s="10" t="str">
        <f aca="false">IF(E33&gt;=40,"HIGH RISK",IF(E33&gt;=30,"MEDIUM","LOW"))</f>
        <v>MEDIUM</v>
      </c>
    </row>
    <row r="34" customFormat="false" ht="15" hidden="false" customHeight="false" outlineLevel="0" collapsed="false">
      <c r="A34" s="11" t="n">
        <v>2024</v>
      </c>
      <c r="B34" s="11" t="s">
        <v>29</v>
      </c>
      <c r="C34" s="13" t="n">
        <v>112.4</v>
      </c>
      <c r="D34" s="13" t="n">
        <v>24.8</v>
      </c>
      <c r="E34" s="12" t="n">
        <v>43</v>
      </c>
      <c r="F34" s="12" t="n">
        <v>1.9</v>
      </c>
      <c r="G34" s="24" t="n">
        <f aca="false">IFERROR(ROUND((1-E34/100)*100,2),0)</f>
        <v>57</v>
      </c>
      <c r="H34" s="25" t="n">
        <f aca="false">IFERROR(ROUND(C34*E34/100,2),0)</f>
        <v>48.33</v>
      </c>
      <c r="I34" s="26" t="str">
        <f aca="false">IF(E34&gt;=40,"HIGH RISK",IF(E34&gt;=30,"MEDIUM","LOW"))</f>
        <v>HIGH RISK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2026-05-06T04:01:27Z</dcterms:created>
  <dc:creator>openpyxl</dc:creator>
  <dc:description/>
  <dc:language>en-US</dc:language>
  <cp:lastModifiedBy/>
  <dcterms:modified xsi:type="dcterms:W3CDTF">2026-05-06T04:01:35Z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