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using Delivery" sheetId="1" state="visible" r:id="rId3"/>
    <sheet name="ChartData" sheetId="2" state="visible" r:id="rId4"/>
    <sheet name="Budget Complianc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<sst xmlns="http://schemas.openxmlformats.org/spreadsheetml/2006/main" count="194" uniqueCount="41">
  <si>
    <t xml:space="preserve">JOSHCO  |  Social Housing Delivery &amp; Compliance Dashboard</t>
  </si>
  <si>
    <t xml:space="preserve">Author: Gracey F.  |  Source: Dept of Human Settlements Annual Reports  |  dhs.gov.za  |  Green = live formula</t>
  </si>
  <si>
    <t xml:space="preserve">Financial Year</t>
  </si>
  <si>
    <t xml:space="preserve">Province</t>
  </si>
  <si>
    <t xml:space="preserve">Programme</t>
  </si>
  <si>
    <t xml:space="preserve">Units
Planned</t>
  </si>
  <si>
    <t xml:space="preserve">Units
Delivered</t>
  </si>
  <si>
    <t xml:space="preserve">DHS Delivery
Rate %</t>
  </si>
  <si>
    <t xml:space="preserve">Beneficiaries</t>
  </si>
  <si>
    <t xml:space="preserve">Compliance
Status</t>
  </si>
  <si>
    <t xml:space="preserve">Calculated Delivery
Rate % — Formula</t>
  </si>
  <si>
    <t xml:space="preserve">Shortfall
— Formula</t>
  </si>
  <si>
    <t xml:space="preserve">% Target Met
IF Formula</t>
  </si>
  <si>
    <t xml:space="preserve">2019/20</t>
  </si>
  <si>
    <t xml:space="preserve">Gauteng</t>
  </si>
  <si>
    <t xml:space="preserve">Community Rental Units</t>
  </si>
  <si>
    <t xml:space="preserve">Compliant</t>
  </si>
  <si>
    <t xml:space="preserve">Western Cape</t>
  </si>
  <si>
    <t xml:space="preserve">FLISP Subsidies</t>
  </si>
  <si>
    <t xml:space="preserve">Social Housing</t>
  </si>
  <si>
    <t xml:space="preserve">Partial Compliance</t>
  </si>
  <si>
    <t xml:space="preserve">2020/21</t>
  </si>
  <si>
    <t xml:space="preserve">Non-Compliant</t>
  </si>
  <si>
    <t xml:space="preserve">2021/22</t>
  </si>
  <si>
    <t xml:space="preserve">2022/23</t>
  </si>
  <si>
    <t xml:space="preserve">2023/24</t>
  </si>
  <si>
    <t xml:space="preserve">TOTALS / AVERAGES</t>
  </si>
  <si>
    <t xml:space="preserve">Year</t>
  </si>
  <si>
    <t xml:space="preserve">Planned</t>
  </si>
  <si>
    <t xml:space="preserve">Delivered</t>
  </si>
  <si>
    <t xml:space="preserve">JOSHCO  |  Budget and Expenditure Compliance Analysis</t>
  </si>
  <si>
    <t xml:space="preserve">Author: Gracey F.  |  Source: DHS Annual Performance Reports  |  Green cells = live Excel formulas</t>
  </si>
  <si>
    <t xml:space="preserve">Budget
(R million)</t>
  </si>
  <si>
    <t xml:space="preserve">Actual
(R million)</t>
  </si>
  <si>
    <t xml:space="preserve">Variance
(R million)</t>
  </si>
  <si>
    <t xml:space="preserve">DHS Expenditure
%</t>
  </si>
  <si>
    <t xml:space="preserve">Compliance Flag</t>
  </si>
  <si>
    <t xml:space="preserve">Calculated Expenditure %
— Formula</t>
  </si>
  <si>
    <t xml:space="preserve">Budget Utilised R
AVERAGEIF Formula</t>
  </si>
  <si>
    <t xml:space="preserve">Administration</t>
  </si>
  <si>
    <t xml:space="preserve">Within Threshold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</si>
</sst>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.0"/>
    <numFmt numFmtId="167" formatCode="0.00"/>
    <numFmt numFmtId="168" formatCode="@"/>
    <numFmt numFmtId="169" formatCode="#,##0.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i val="true"/>
      <sz val="9"/>
      <color rgb="FF1C2B2D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1C2B2D"/>
      <name val="Arial"/>
      <family val="0"/>
      <charset val="1"/>
    </font>
    <font>
      <b val="true"/>
      <sz val="10"/>
      <color rgb="FF1E844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7B241C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7B241C"/>
        <bgColor rgb="FF800000"/>
      </patternFill>
    </fill>
    <fill>
      <patternFill patternType="solid">
        <fgColor rgb="FFFDEDEC"/>
        <bgColor rgb="FFF2F3F4"/>
      </patternFill>
    </fill>
    <fill>
      <patternFill patternType="solid">
        <fgColor rgb="FFF2F3F4"/>
        <bgColor rgb="FFF9F9F9"/>
      </patternFill>
    </fill>
    <fill>
      <patternFill patternType="solid">
        <fgColor rgb="FFFFFFFF"/>
        <bgColor rgb="FFF9F9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993366"/>
      <rgbColor rgb="FFF9F9F9"/>
      <rgbColor rgb="FFF2F3F4"/>
      <rgbColor rgb="FF660066"/>
      <rgbColor rgb="FFFF8080"/>
      <rgbColor rgb="FF0066CC"/>
      <rgbColor rgb="FFD5D8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DE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1E8449"/>
      <rgbColor rgb="FF003300"/>
      <rgbColor rgb="FF333300"/>
      <rgbColor rgb="FF7B241C"/>
      <rgbColor rgb="FF993366"/>
      <rgbColor rgb="FF333399"/>
      <rgbColor rgb="FF1C2B2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Planned vs Delivered Housing Units by Year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ChartData!B1</c:f>
              <c:strCache>
                <c:ptCount val="1"/>
                <c:pt idx="0">
                  <c:v>Planned</c:v>
                </c:pt>
              </c:strCache>
            </c:strRef>
          </c:tx>
          <c:spPr>
            <a:solidFill>
              <a:srgbClr val="7b241c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ChartData!$A$2:$A$6</c:f>
              <c:strCache>
                <c:ptCount val="5"/>
                <c:pt idx="0">
                  <c:v>2019/20</c:v>
                </c:pt>
                <c:pt idx="1">
                  <c:v>2020/21</c:v>
                </c:pt>
                <c:pt idx="2">
                  <c:v>2021/22</c:v>
                </c:pt>
                <c:pt idx="3">
                  <c:v>2022/23</c:v>
                </c:pt>
                <c:pt idx="4">
                  <c:v>2023/24</c:v>
                </c:pt>
              </c:strCache>
            </c:strRef>
          </c:cat>
          <c:val>
            <c:numRef>
              <c:f>ChartData!$B$2:$B$6</c:f>
              <c:numCache>
                <c:formatCode>General</c:formatCode>
                <c:ptCount val="5"/>
                <c:pt idx="0">
                  <c:v>10200</c:v>
                </c:pt>
                <c:pt idx="1">
                  <c:v>9350</c:v>
                </c:pt>
                <c:pt idx="2">
                  <c:v>11300</c:v>
                </c:pt>
                <c:pt idx="3">
                  <c:v>12400</c:v>
                </c:pt>
                <c:pt idx="4">
                  <c:v>13600</c:v>
                </c:pt>
              </c:numCache>
            </c:numRef>
          </c:val>
        </c:ser>
        <c:ser>
          <c:idx val="1"/>
          <c:order val="1"/>
          <c:tx>
            <c:strRef>
              <c:f>ChartData!C1</c:f>
              <c:strCache>
                <c:ptCount val="1"/>
                <c:pt idx="0">
                  <c:v>Delivered</c:v>
                </c:pt>
              </c:strCache>
            </c:strRef>
          </c:tx>
          <c:spPr>
            <a:solidFill>
              <a:srgbClr val="1e844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ChartData!$A$2:$A$6</c:f>
              <c:strCache>
                <c:ptCount val="5"/>
                <c:pt idx="0">
                  <c:v>2019/20</c:v>
                </c:pt>
                <c:pt idx="1">
                  <c:v>2020/21</c:v>
                </c:pt>
                <c:pt idx="2">
                  <c:v>2021/22</c:v>
                </c:pt>
                <c:pt idx="3">
                  <c:v>2022/23</c:v>
                </c:pt>
                <c:pt idx="4">
                  <c:v>2023/24</c:v>
                </c:pt>
              </c:strCache>
            </c:strRef>
          </c:cat>
          <c:val>
            <c:numRef>
              <c:f>ChartData!$C$2:$C$6</c:f>
              <c:numCache>
                <c:formatCode>General</c:formatCode>
                <c:ptCount val="5"/>
                <c:pt idx="0">
                  <c:v>8921</c:v>
                </c:pt>
                <c:pt idx="1">
                  <c:v>6015</c:v>
                </c:pt>
                <c:pt idx="2">
                  <c:v>9940</c:v>
                </c:pt>
                <c:pt idx="3">
                  <c:v>11014</c:v>
                </c:pt>
                <c:pt idx="4">
                  <c:v>12136</c:v>
                </c:pt>
              </c:numCache>
            </c:numRef>
          </c:val>
        </c:ser>
        <c:gapWidth val="150"/>
        <c:overlap val="0"/>
        <c:axId val="8083986"/>
        <c:axId val="80750074"/>
      </c:barChart>
      <c:catAx>
        <c:axId val="808398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750074"/>
        <c:crosses val="autoZero"/>
        <c:auto val="1"/>
        <c:lblAlgn val="ctr"/>
        <c:lblOffset val="100"/>
        <c:noMultiLvlLbl val="0"/>
      </c:catAx>
      <c:valAx>
        <c:axId val="8075007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8398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3</xdr:row>
      <xdr:rowOff>0</xdr:rowOff>
    </xdr:from>
    <xdr:to>
      <xdr:col>26</xdr:col>
      <xdr:colOff>186840</xdr:colOff>
      <xdr:row>26</xdr:row>
      <xdr:rowOff>147600</xdr:rowOff>
    </xdr:to>
    <xdr:graphicFrame>
      <xdr:nvGraphicFramePr>
        <xdr:cNvPr id="0" name="Chart 1"/>
        <xdr:cNvGraphicFramePr/>
      </xdr:nvGraphicFramePr>
      <xdr:xfrm>
        <a:off x="12405240" y="952560"/>
        <a:ext cx="935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26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8" min="8" style="0" width="18"/>
    <col collapsed="false" customWidth="true" hidden="false" outlineLevel="0" max="9" min="9" style="0" width="22"/>
    <col collapsed="false" customWidth="true" hidden="false" outlineLevel="0" max="10" min="10" style="0" width="12"/>
    <col collapsed="false" customWidth="true" hidden="false" outlineLevel="0" max="11" min="11" style="0" width="18"/>
  </cols>
  <sheetData>
    <row r="1" customFormat="false" ht="42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customFormat="false" ht="15" hidden="false" customHeight="false" outlineLevel="0" collapsed="false">
      <c r="A5" s="4" t="s">
        <v>13</v>
      </c>
      <c r="B5" s="4" t="s">
        <v>14</v>
      </c>
      <c r="C5" s="4" t="s">
        <v>15</v>
      </c>
      <c r="D5" s="5" t="n">
        <v>1200</v>
      </c>
      <c r="E5" s="5" t="n">
        <v>1089</v>
      </c>
      <c r="F5" s="6" t="n">
        <v>90.8</v>
      </c>
      <c r="G5" s="5" t="n">
        <v>1089</v>
      </c>
      <c r="H5" s="4" t="s">
        <v>16</v>
      </c>
      <c r="I5" s="7" t="n">
        <f aca="false">IFERROR(ROUND(E5/D5*100,2),0)</f>
        <v>90.75</v>
      </c>
      <c r="J5" s="8" t="n">
        <f aca="false">D5-E5</f>
        <v>111</v>
      </c>
      <c r="K5" s="9" t="str">
        <f aca="false">IF(I5&gt;=90,"Compliant",IF(I5&gt;=75,"Partial Compliance","Non-Compliant"))</f>
        <v>Compliant</v>
      </c>
    </row>
    <row r="6" customFormat="false" ht="15" hidden="false" customHeight="false" outlineLevel="0" collapsed="false">
      <c r="A6" s="10" t="s">
        <v>13</v>
      </c>
      <c r="B6" s="10" t="s">
        <v>17</v>
      </c>
      <c r="C6" s="10" t="s">
        <v>15</v>
      </c>
      <c r="D6" s="11" t="n">
        <v>900</v>
      </c>
      <c r="E6" s="11" t="n">
        <v>812</v>
      </c>
      <c r="F6" s="12" t="n">
        <v>90.2</v>
      </c>
      <c r="G6" s="11" t="n">
        <v>812</v>
      </c>
      <c r="H6" s="10" t="s">
        <v>16</v>
      </c>
      <c r="I6" s="13" t="n">
        <f aca="false">IFERROR(ROUND(E6/D6*100,2),0)</f>
        <v>90.22</v>
      </c>
      <c r="J6" s="14" t="n">
        <f aca="false">D6-E6</f>
        <v>88</v>
      </c>
      <c r="K6" s="15" t="str">
        <f aca="false">IF(I6&gt;=90,"Compliant",IF(I6&gt;=75,"Partial Compliance","Non-Compliant"))</f>
        <v>Compliant</v>
      </c>
    </row>
    <row r="7" customFormat="false" ht="15" hidden="false" customHeight="false" outlineLevel="0" collapsed="false">
      <c r="A7" s="4" t="s">
        <v>13</v>
      </c>
      <c r="B7" s="4" t="s">
        <v>14</v>
      </c>
      <c r="C7" s="4" t="s">
        <v>18</v>
      </c>
      <c r="D7" s="5" t="n">
        <v>3500</v>
      </c>
      <c r="E7" s="5" t="n">
        <v>3210</v>
      </c>
      <c r="F7" s="6" t="n">
        <v>91.7</v>
      </c>
      <c r="G7" s="5" t="n">
        <v>3210</v>
      </c>
      <c r="H7" s="4" t="s">
        <v>16</v>
      </c>
      <c r="I7" s="7" t="n">
        <f aca="false">IFERROR(ROUND(E7/D7*100,2),0)</f>
        <v>91.71</v>
      </c>
      <c r="J7" s="8" t="n">
        <f aca="false">D7-E7</f>
        <v>290</v>
      </c>
      <c r="K7" s="9" t="str">
        <f aca="false">IF(I7&gt;=90,"Compliant",IF(I7&gt;=75,"Partial Compliance","Non-Compliant"))</f>
        <v>Compliant</v>
      </c>
    </row>
    <row r="8" customFormat="false" ht="15" hidden="false" customHeight="false" outlineLevel="0" collapsed="false">
      <c r="A8" s="10" t="s">
        <v>13</v>
      </c>
      <c r="B8" s="10" t="s">
        <v>14</v>
      </c>
      <c r="C8" s="10" t="s">
        <v>19</v>
      </c>
      <c r="D8" s="11" t="n">
        <v>2800</v>
      </c>
      <c r="E8" s="11" t="n">
        <v>2156</v>
      </c>
      <c r="F8" s="12" t="n">
        <v>77</v>
      </c>
      <c r="G8" s="11" t="n">
        <v>2156</v>
      </c>
      <c r="H8" s="10" t="s">
        <v>20</v>
      </c>
      <c r="I8" s="13" t="n">
        <f aca="false">IFERROR(ROUND(E8/D8*100,2),0)</f>
        <v>77</v>
      </c>
      <c r="J8" s="14" t="n">
        <f aca="false">D8-E8</f>
        <v>644</v>
      </c>
      <c r="K8" s="15" t="str">
        <f aca="false">IF(I8&gt;=90,"Compliant",IF(I8&gt;=75,"Partial Compliance","Non-Compliant"))</f>
        <v>Partial Compliance</v>
      </c>
    </row>
    <row r="9" customFormat="false" ht="15" hidden="false" customHeight="false" outlineLevel="0" collapsed="false">
      <c r="A9" s="4" t="s">
        <v>13</v>
      </c>
      <c r="B9" s="4" t="s">
        <v>17</v>
      </c>
      <c r="C9" s="4" t="s">
        <v>19</v>
      </c>
      <c r="D9" s="5" t="n">
        <v>1800</v>
      </c>
      <c r="E9" s="5" t="n">
        <v>1654</v>
      </c>
      <c r="F9" s="6" t="n">
        <v>91.9</v>
      </c>
      <c r="G9" s="5" t="n">
        <v>1654</v>
      </c>
      <c r="H9" s="4" t="s">
        <v>16</v>
      </c>
      <c r="I9" s="7" t="n">
        <f aca="false">IFERROR(ROUND(E9/D9*100,2),0)</f>
        <v>91.89</v>
      </c>
      <c r="J9" s="8" t="n">
        <f aca="false">D9-E9</f>
        <v>146</v>
      </c>
      <c r="K9" s="9" t="str">
        <f aca="false">IF(I9&gt;=90,"Compliant",IF(I9&gt;=75,"Partial Compliance","Non-Compliant"))</f>
        <v>Compliant</v>
      </c>
    </row>
    <row r="10" customFormat="false" ht="15" hidden="false" customHeight="false" outlineLevel="0" collapsed="false">
      <c r="A10" s="10" t="s">
        <v>21</v>
      </c>
      <c r="B10" s="10" t="s">
        <v>14</v>
      </c>
      <c r="C10" s="10" t="s">
        <v>15</v>
      </c>
      <c r="D10" s="11" t="n">
        <v>1100</v>
      </c>
      <c r="E10" s="11" t="n">
        <v>689</v>
      </c>
      <c r="F10" s="12" t="n">
        <v>62.6</v>
      </c>
      <c r="G10" s="11" t="n">
        <v>689</v>
      </c>
      <c r="H10" s="16" t="s">
        <v>22</v>
      </c>
      <c r="I10" s="13" t="n">
        <f aca="false">IFERROR(ROUND(E10/D10*100,2),0)</f>
        <v>62.64</v>
      </c>
      <c r="J10" s="14" t="n">
        <f aca="false">D10-E10</f>
        <v>411</v>
      </c>
      <c r="K10" s="15" t="str">
        <f aca="false">IF(I10&gt;=90,"Compliant",IF(I10&gt;=75,"Partial Compliance","Non-Compliant"))</f>
        <v>Non-Compliant</v>
      </c>
    </row>
    <row r="11" customFormat="false" ht="15" hidden="false" customHeight="false" outlineLevel="0" collapsed="false">
      <c r="A11" s="4" t="s">
        <v>21</v>
      </c>
      <c r="B11" s="4" t="s">
        <v>17</v>
      </c>
      <c r="C11" s="4" t="s">
        <v>15</v>
      </c>
      <c r="D11" s="5" t="n">
        <v>850</v>
      </c>
      <c r="E11" s="5" t="n">
        <v>612</v>
      </c>
      <c r="F11" s="6" t="n">
        <v>72</v>
      </c>
      <c r="G11" s="5" t="n">
        <v>612</v>
      </c>
      <c r="H11" s="4" t="s">
        <v>20</v>
      </c>
      <c r="I11" s="7" t="n">
        <f aca="false">IFERROR(ROUND(E11/D11*100,2),0)</f>
        <v>72</v>
      </c>
      <c r="J11" s="8" t="n">
        <f aca="false">D11-E11</f>
        <v>238</v>
      </c>
      <c r="K11" s="9" t="str">
        <f aca="false">IF(I11&gt;=90,"Compliant",IF(I11&gt;=75,"Partial Compliance","Non-Compliant"))</f>
        <v>Non-Compliant</v>
      </c>
    </row>
    <row r="12" customFormat="false" ht="15" hidden="false" customHeight="false" outlineLevel="0" collapsed="false">
      <c r="A12" s="10" t="s">
        <v>21</v>
      </c>
      <c r="B12" s="10" t="s">
        <v>14</v>
      </c>
      <c r="C12" s="10" t="s">
        <v>18</v>
      </c>
      <c r="D12" s="11" t="n">
        <v>3200</v>
      </c>
      <c r="E12" s="11" t="n">
        <v>2156</v>
      </c>
      <c r="F12" s="12" t="n">
        <v>67.4</v>
      </c>
      <c r="G12" s="11" t="n">
        <v>2156</v>
      </c>
      <c r="H12" s="10" t="s">
        <v>20</v>
      </c>
      <c r="I12" s="13" t="n">
        <f aca="false">IFERROR(ROUND(E12/D12*100,2),0)</f>
        <v>67.38</v>
      </c>
      <c r="J12" s="14" t="n">
        <f aca="false">D12-E12</f>
        <v>1044</v>
      </c>
      <c r="K12" s="15" t="str">
        <f aca="false">IF(I12&gt;=90,"Compliant",IF(I12&gt;=75,"Partial Compliance","Non-Compliant"))</f>
        <v>Non-Compliant</v>
      </c>
    </row>
    <row r="13" customFormat="false" ht="15" hidden="false" customHeight="false" outlineLevel="0" collapsed="false">
      <c r="A13" s="4" t="s">
        <v>21</v>
      </c>
      <c r="B13" s="4" t="s">
        <v>14</v>
      </c>
      <c r="C13" s="4" t="s">
        <v>19</v>
      </c>
      <c r="D13" s="5" t="n">
        <v>2600</v>
      </c>
      <c r="E13" s="5" t="n">
        <v>1456</v>
      </c>
      <c r="F13" s="6" t="n">
        <v>56</v>
      </c>
      <c r="G13" s="5" t="n">
        <v>1456</v>
      </c>
      <c r="H13" s="16" t="s">
        <v>22</v>
      </c>
      <c r="I13" s="7" t="n">
        <f aca="false">IFERROR(ROUND(E13/D13*100,2),0)</f>
        <v>56</v>
      </c>
      <c r="J13" s="8" t="n">
        <f aca="false">D13-E13</f>
        <v>1144</v>
      </c>
      <c r="K13" s="9" t="str">
        <f aca="false">IF(I13&gt;=90,"Compliant",IF(I13&gt;=75,"Partial Compliance","Non-Compliant"))</f>
        <v>Non-Compliant</v>
      </c>
    </row>
    <row r="14" customFormat="false" ht="15" hidden="false" customHeight="false" outlineLevel="0" collapsed="false">
      <c r="A14" s="10" t="s">
        <v>21</v>
      </c>
      <c r="B14" s="10" t="s">
        <v>17</v>
      </c>
      <c r="C14" s="10" t="s">
        <v>19</v>
      </c>
      <c r="D14" s="11" t="n">
        <v>1600</v>
      </c>
      <c r="E14" s="11" t="n">
        <v>1102</v>
      </c>
      <c r="F14" s="12" t="n">
        <v>68.9</v>
      </c>
      <c r="G14" s="11" t="n">
        <v>1102</v>
      </c>
      <c r="H14" s="10" t="s">
        <v>20</v>
      </c>
      <c r="I14" s="13" t="n">
        <f aca="false">IFERROR(ROUND(E14/D14*100,2),0)</f>
        <v>68.88</v>
      </c>
      <c r="J14" s="14" t="n">
        <f aca="false">D14-E14</f>
        <v>498</v>
      </c>
      <c r="K14" s="15" t="str">
        <f aca="false">IF(I14&gt;=90,"Compliant",IF(I14&gt;=75,"Partial Compliance","Non-Compliant"))</f>
        <v>Non-Compliant</v>
      </c>
    </row>
    <row r="15" customFormat="false" ht="15" hidden="false" customHeight="false" outlineLevel="0" collapsed="false">
      <c r="A15" s="4" t="s">
        <v>23</v>
      </c>
      <c r="B15" s="4" t="s">
        <v>14</v>
      </c>
      <c r="C15" s="4" t="s">
        <v>15</v>
      </c>
      <c r="D15" s="5" t="n">
        <v>1300</v>
      </c>
      <c r="E15" s="5" t="n">
        <v>1178</v>
      </c>
      <c r="F15" s="6" t="n">
        <v>90.6</v>
      </c>
      <c r="G15" s="5" t="n">
        <v>1178</v>
      </c>
      <c r="H15" s="4" t="s">
        <v>16</v>
      </c>
      <c r="I15" s="7" t="n">
        <f aca="false">IFERROR(ROUND(E15/D15*100,2),0)</f>
        <v>90.62</v>
      </c>
      <c r="J15" s="8" t="n">
        <f aca="false">D15-E15</f>
        <v>122</v>
      </c>
      <c r="K15" s="9" t="str">
        <f aca="false">IF(I15&gt;=90,"Compliant",IF(I15&gt;=75,"Partial Compliance","Non-Compliant"))</f>
        <v>Compliant</v>
      </c>
    </row>
    <row r="16" customFormat="false" ht="15" hidden="false" customHeight="false" outlineLevel="0" collapsed="false">
      <c r="A16" s="10" t="s">
        <v>23</v>
      </c>
      <c r="B16" s="10" t="s">
        <v>17</v>
      </c>
      <c r="C16" s="10" t="s">
        <v>15</v>
      </c>
      <c r="D16" s="11" t="n">
        <v>1000</v>
      </c>
      <c r="E16" s="11" t="n">
        <v>934</v>
      </c>
      <c r="F16" s="12" t="n">
        <v>93.4</v>
      </c>
      <c r="G16" s="11" t="n">
        <v>934</v>
      </c>
      <c r="H16" s="10" t="s">
        <v>16</v>
      </c>
      <c r="I16" s="13" t="n">
        <f aca="false">IFERROR(ROUND(E16/D16*100,2),0)</f>
        <v>93.4</v>
      </c>
      <c r="J16" s="14" t="n">
        <f aca="false">D16-E16</f>
        <v>66</v>
      </c>
      <c r="K16" s="15" t="str">
        <f aca="false">IF(I16&gt;=90,"Compliant",IF(I16&gt;=75,"Partial Compliance","Non-Compliant"))</f>
        <v>Compliant</v>
      </c>
    </row>
    <row r="17" customFormat="false" ht="15" hidden="false" customHeight="false" outlineLevel="0" collapsed="false">
      <c r="A17" s="4" t="s">
        <v>23</v>
      </c>
      <c r="B17" s="4" t="s">
        <v>14</v>
      </c>
      <c r="C17" s="4" t="s">
        <v>18</v>
      </c>
      <c r="D17" s="5" t="n">
        <v>4000</v>
      </c>
      <c r="E17" s="5" t="n">
        <v>3654</v>
      </c>
      <c r="F17" s="6" t="n">
        <v>91.4</v>
      </c>
      <c r="G17" s="5" t="n">
        <v>3654</v>
      </c>
      <c r="H17" s="4" t="s">
        <v>16</v>
      </c>
      <c r="I17" s="7" t="n">
        <f aca="false">IFERROR(ROUND(E17/D17*100,2),0)</f>
        <v>91.35</v>
      </c>
      <c r="J17" s="8" t="n">
        <f aca="false">D17-E17</f>
        <v>346</v>
      </c>
      <c r="K17" s="9" t="str">
        <f aca="false">IF(I17&gt;=90,"Compliant",IF(I17&gt;=75,"Partial Compliance","Non-Compliant"))</f>
        <v>Compliant</v>
      </c>
    </row>
    <row r="18" customFormat="false" ht="15" hidden="false" customHeight="false" outlineLevel="0" collapsed="false">
      <c r="A18" s="10" t="s">
        <v>23</v>
      </c>
      <c r="B18" s="10" t="s">
        <v>14</v>
      </c>
      <c r="C18" s="10" t="s">
        <v>19</v>
      </c>
      <c r="D18" s="11" t="n">
        <v>3000</v>
      </c>
      <c r="E18" s="11" t="n">
        <v>2298</v>
      </c>
      <c r="F18" s="12" t="n">
        <v>76.6</v>
      </c>
      <c r="G18" s="11" t="n">
        <v>2298</v>
      </c>
      <c r="H18" s="10" t="s">
        <v>20</v>
      </c>
      <c r="I18" s="13" t="n">
        <f aca="false">IFERROR(ROUND(E18/D18*100,2),0)</f>
        <v>76.6</v>
      </c>
      <c r="J18" s="14" t="n">
        <f aca="false">D18-E18</f>
        <v>702</v>
      </c>
      <c r="K18" s="15" t="str">
        <f aca="false">IF(I18&gt;=90,"Compliant",IF(I18&gt;=75,"Partial Compliance","Non-Compliant"))</f>
        <v>Partial Compliance</v>
      </c>
    </row>
    <row r="19" customFormat="false" ht="15" hidden="false" customHeight="false" outlineLevel="0" collapsed="false">
      <c r="A19" s="4" t="s">
        <v>23</v>
      </c>
      <c r="B19" s="4" t="s">
        <v>17</v>
      </c>
      <c r="C19" s="4" t="s">
        <v>19</v>
      </c>
      <c r="D19" s="5" t="n">
        <v>2000</v>
      </c>
      <c r="E19" s="5" t="n">
        <v>1876</v>
      </c>
      <c r="F19" s="6" t="n">
        <v>93.8</v>
      </c>
      <c r="G19" s="5" t="n">
        <v>1876</v>
      </c>
      <c r="H19" s="4" t="s">
        <v>16</v>
      </c>
      <c r="I19" s="7" t="n">
        <f aca="false">IFERROR(ROUND(E19/D19*100,2),0)</f>
        <v>93.8</v>
      </c>
      <c r="J19" s="8" t="n">
        <f aca="false">D19-E19</f>
        <v>124</v>
      </c>
      <c r="K19" s="9" t="str">
        <f aca="false">IF(I19&gt;=90,"Compliant",IF(I19&gt;=75,"Partial Compliance","Non-Compliant"))</f>
        <v>Compliant</v>
      </c>
    </row>
    <row r="20" customFormat="false" ht="15" hidden="false" customHeight="false" outlineLevel="0" collapsed="false">
      <c r="A20" s="10" t="s">
        <v>24</v>
      </c>
      <c r="B20" s="10" t="s">
        <v>14</v>
      </c>
      <c r="C20" s="10" t="s">
        <v>15</v>
      </c>
      <c r="D20" s="11" t="n">
        <v>1400</v>
      </c>
      <c r="E20" s="11" t="n">
        <v>1312</v>
      </c>
      <c r="F20" s="12" t="n">
        <v>93.7</v>
      </c>
      <c r="G20" s="11" t="n">
        <v>1312</v>
      </c>
      <c r="H20" s="10" t="s">
        <v>16</v>
      </c>
      <c r="I20" s="13" t="n">
        <f aca="false">IFERROR(ROUND(E20/D20*100,2),0)</f>
        <v>93.71</v>
      </c>
      <c r="J20" s="14" t="n">
        <f aca="false">D20-E20</f>
        <v>88</v>
      </c>
      <c r="K20" s="15" t="str">
        <f aca="false">IF(I20&gt;=90,"Compliant",IF(I20&gt;=75,"Partial Compliance","Non-Compliant"))</f>
        <v>Compliant</v>
      </c>
    </row>
    <row r="21" customFormat="false" ht="15" hidden="false" customHeight="false" outlineLevel="0" collapsed="false">
      <c r="A21" s="4" t="s">
        <v>24</v>
      </c>
      <c r="B21" s="4" t="s">
        <v>17</v>
      </c>
      <c r="C21" s="4" t="s">
        <v>15</v>
      </c>
      <c r="D21" s="5" t="n">
        <v>1100</v>
      </c>
      <c r="E21" s="5" t="n">
        <v>1034</v>
      </c>
      <c r="F21" s="6" t="n">
        <v>94</v>
      </c>
      <c r="G21" s="5" t="n">
        <v>1034</v>
      </c>
      <c r="H21" s="4" t="s">
        <v>16</v>
      </c>
      <c r="I21" s="7" t="n">
        <f aca="false">IFERROR(ROUND(E21/D21*100,2),0)</f>
        <v>94</v>
      </c>
      <c r="J21" s="8" t="n">
        <f aca="false">D21-E21</f>
        <v>66</v>
      </c>
      <c r="K21" s="9" t="str">
        <f aca="false">IF(I21&gt;=90,"Compliant",IF(I21&gt;=75,"Partial Compliance","Non-Compliant"))</f>
        <v>Compliant</v>
      </c>
    </row>
    <row r="22" customFormat="false" ht="15" hidden="false" customHeight="false" outlineLevel="0" collapsed="false">
      <c r="A22" s="10" t="s">
        <v>24</v>
      </c>
      <c r="B22" s="10" t="s">
        <v>14</v>
      </c>
      <c r="C22" s="10" t="s">
        <v>18</v>
      </c>
      <c r="D22" s="11" t="n">
        <v>4500</v>
      </c>
      <c r="E22" s="11" t="n">
        <v>4123</v>
      </c>
      <c r="F22" s="12" t="n">
        <v>91.6</v>
      </c>
      <c r="G22" s="11" t="n">
        <v>4123</v>
      </c>
      <c r="H22" s="10" t="s">
        <v>16</v>
      </c>
      <c r="I22" s="13" t="n">
        <f aca="false">IFERROR(ROUND(E22/D22*100,2),0)</f>
        <v>91.62</v>
      </c>
      <c r="J22" s="14" t="n">
        <f aca="false">D22-E22</f>
        <v>377</v>
      </c>
      <c r="K22" s="15" t="str">
        <f aca="false">IF(I22&gt;=90,"Compliant",IF(I22&gt;=75,"Partial Compliance","Non-Compliant"))</f>
        <v>Compliant</v>
      </c>
    </row>
    <row r="23" customFormat="false" ht="15" hidden="false" customHeight="false" outlineLevel="0" collapsed="false">
      <c r="A23" s="4" t="s">
        <v>24</v>
      </c>
      <c r="B23" s="4" t="s">
        <v>14</v>
      </c>
      <c r="C23" s="4" t="s">
        <v>19</v>
      </c>
      <c r="D23" s="5" t="n">
        <v>3200</v>
      </c>
      <c r="E23" s="5" t="n">
        <v>2456</v>
      </c>
      <c r="F23" s="6" t="n">
        <v>76.8</v>
      </c>
      <c r="G23" s="5" t="n">
        <v>2456</v>
      </c>
      <c r="H23" s="4" t="s">
        <v>20</v>
      </c>
      <c r="I23" s="7" t="n">
        <f aca="false">IFERROR(ROUND(E23/D23*100,2),0)</f>
        <v>76.75</v>
      </c>
      <c r="J23" s="8" t="n">
        <f aca="false">D23-E23</f>
        <v>744</v>
      </c>
      <c r="K23" s="9" t="str">
        <f aca="false">IF(I23&gt;=90,"Compliant",IF(I23&gt;=75,"Partial Compliance","Non-Compliant"))</f>
        <v>Partial Compliance</v>
      </c>
    </row>
    <row r="24" customFormat="false" ht="15" hidden="false" customHeight="false" outlineLevel="0" collapsed="false">
      <c r="A24" s="10" t="s">
        <v>24</v>
      </c>
      <c r="B24" s="10" t="s">
        <v>17</v>
      </c>
      <c r="C24" s="10" t="s">
        <v>19</v>
      </c>
      <c r="D24" s="11" t="n">
        <v>2200</v>
      </c>
      <c r="E24" s="11" t="n">
        <v>2089</v>
      </c>
      <c r="F24" s="12" t="n">
        <v>95</v>
      </c>
      <c r="G24" s="11" t="n">
        <v>2089</v>
      </c>
      <c r="H24" s="10" t="s">
        <v>16</v>
      </c>
      <c r="I24" s="13" t="n">
        <f aca="false">IFERROR(ROUND(E24/D24*100,2),0)</f>
        <v>94.95</v>
      </c>
      <c r="J24" s="14" t="n">
        <f aca="false">D24-E24</f>
        <v>111</v>
      </c>
      <c r="K24" s="15" t="str">
        <f aca="false">IF(I24&gt;=90,"Compliant",IF(I24&gt;=75,"Partial Compliance","Non-Compliant"))</f>
        <v>Compliant</v>
      </c>
    </row>
    <row r="25" customFormat="false" ht="15" hidden="false" customHeight="false" outlineLevel="0" collapsed="false">
      <c r="A25" s="4" t="s">
        <v>25</v>
      </c>
      <c r="B25" s="4" t="s">
        <v>14</v>
      </c>
      <c r="C25" s="4" t="s">
        <v>15</v>
      </c>
      <c r="D25" s="5" t="n">
        <v>1500</v>
      </c>
      <c r="E25" s="5" t="n">
        <v>1423</v>
      </c>
      <c r="F25" s="6" t="n">
        <v>94.9</v>
      </c>
      <c r="G25" s="5" t="n">
        <v>1423</v>
      </c>
      <c r="H25" s="4" t="s">
        <v>16</v>
      </c>
      <c r="I25" s="7" t="n">
        <f aca="false">IFERROR(ROUND(E25/D25*100,2),0)</f>
        <v>94.87</v>
      </c>
      <c r="J25" s="8" t="n">
        <f aca="false">D25-E25</f>
        <v>77</v>
      </c>
      <c r="K25" s="9" t="str">
        <f aca="false">IF(I25&gt;=90,"Compliant",IF(I25&gt;=75,"Partial Compliance","Non-Compliant"))</f>
        <v>Compliant</v>
      </c>
    </row>
    <row r="26" customFormat="false" ht="15" hidden="false" customHeight="false" outlineLevel="0" collapsed="false">
      <c r="A26" s="10" t="s">
        <v>25</v>
      </c>
      <c r="B26" s="10" t="s">
        <v>17</v>
      </c>
      <c r="C26" s="10" t="s">
        <v>15</v>
      </c>
      <c r="D26" s="11" t="n">
        <v>1200</v>
      </c>
      <c r="E26" s="11" t="n">
        <v>1156</v>
      </c>
      <c r="F26" s="12" t="n">
        <v>96.3</v>
      </c>
      <c r="G26" s="11" t="n">
        <v>1156</v>
      </c>
      <c r="H26" s="10" t="s">
        <v>16</v>
      </c>
      <c r="I26" s="13" t="n">
        <f aca="false">IFERROR(ROUND(E26/D26*100,2),0)</f>
        <v>96.33</v>
      </c>
      <c r="J26" s="14" t="n">
        <f aca="false">D26-E26</f>
        <v>44</v>
      </c>
      <c r="K26" s="15" t="str">
        <f aca="false">IF(I26&gt;=90,"Compliant",IF(I26&gt;=75,"Partial Compliance","Non-Compliant"))</f>
        <v>Compliant</v>
      </c>
    </row>
    <row r="27" customFormat="false" ht="15" hidden="false" customHeight="false" outlineLevel="0" collapsed="false">
      <c r="A27" s="4" t="s">
        <v>25</v>
      </c>
      <c r="B27" s="4" t="s">
        <v>14</v>
      </c>
      <c r="C27" s="4" t="s">
        <v>18</v>
      </c>
      <c r="D27" s="5" t="n">
        <v>5000</v>
      </c>
      <c r="E27" s="5" t="n">
        <v>4567</v>
      </c>
      <c r="F27" s="6" t="n">
        <v>91.3</v>
      </c>
      <c r="G27" s="5" t="n">
        <v>4567</v>
      </c>
      <c r="H27" s="4" t="s">
        <v>16</v>
      </c>
      <c r="I27" s="7" t="n">
        <f aca="false">IFERROR(ROUND(E27/D27*100,2),0)</f>
        <v>91.34</v>
      </c>
      <c r="J27" s="8" t="n">
        <f aca="false">D27-E27</f>
        <v>433</v>
      </c>
      <c r="K27" s="9" t="str">
        <f aca="false">IF(I27&gt;=90,"Compliant",IF(I27&gt;=75,"Partial Compliance","Non-Compliant"))</f>
        <v>Compliant</v>
      </c>
    </row>
    <row r="28" customFormat="false" ht="15" hidden="false" customHeight="false" outlineLevel="0" collapsed="false">
      <c r="A28" s="10" t="s">
        <v>25</v>
      </c>
      <c r="B28" s="10" t="s">
        <v>14</v>
      </c>
      <c r="C28" s="10" t="s">
        <v>19</v>
      </c>
      <c r="D28" s="11" t="n">
        <v>3500</v>
      </c>
      <c r="E28" s="11" t="n">
        <v>2678</v>
      </c>
      <c r="F28" s="12" t="n">
        <v>76.5</v>
      </c>
      <c r="G28" s="11" t="n">
        <v>2678</v>
      </c>
      <c r="H28" s="10" t="s">
        <v>20</v>
      </c>
      <c r="I28" s="13" t="n">
        <f aca="false">IFERROR(ROUND(E28/D28*100,2),0)</f>
        <v>76.51</v>
      </c>
      <c r="J28" s="14" t="n">
        <f aca="false">D28-E28</f>
        <v>822</v>
      </c>
      <c r="K28" s="15" t="str">
        <f aca="false">IF(I28&gt;=90,"Compliant",IF(I28&gt;=75,"Partial Compliance","Non-Compliant"))</f>
        <v>Partial Compliance</v>
      </c>
    </row>
    <row r="29" customFormat="false" ht="15" hidden="false" customHeight="false" outlineLevel="0" collapsed="false">
      <c r="A29" s="4" t="s">
        <v>25</v>
      </c>
      <c r="B29" s="4" t="s">
        <v>17</v>
      </c>
      <c r="C29" s="4" t="s">
        <v>19</v>
      </c>
      <c r="D29" s="5" t="n">
        <v>2400</v>
      </c>
      <c r="E29" s="5" t="n">
        <v>2312</v>
      </c>
      <c r="F29" s="6" t="n">
        <v>96.3</v>
      </c>
      <c r="G29" s="5" t="n">
        <v>2312</v>
      </c>
      <c r="H29" s="4" t="s">
        <v>16</v>
      </c>
      <c r="I29" s="7" t="n">
        <f aca="false">IFERROR(ROUND(E29/D29*100,2),0)</f>
        <v>96.33</v>
      </c>
      <c r="J29" s="8" t="n">
        <f aca="false">D29-E29</f>
        <v>88</v>
      </c>
      <c r="K29" s="9" t="str">
        <f aca="false">IF(I29&gt;=90,"Compliant",IF(I29&gt;=75,"Partial Compliance","Non-Compliant"))</f>
        <v>Compliant</v>
      </c>
    </row>
    <row r="30" customFormat="false" ht="23.85" hidden="false" customHeight="false" outlineLevel="0" collapsed="false">
      <c r="A30" s="17" t="s">
        <v>26</v>
      </c>
      <c r="B30" s="17"/>
      <c r="C30" s="17"/>
      <c r="D30" s="18" t="n">
        <f aca="false">SUM(D5:D29)</f>
        <v>56850</v>
      </c>
      <c r="E30" s="18" t="n">
        <f aca="false">SUM(E5:E29)</f>
        <v>48026</v>
      </c>
      <c r="F30" s="19" t="n">
        <f aca="false">AVERAGE(F5:F29)</f>
        <v>84.828</v>
      </c>
      <c r="G30" s="18" t="n">
        <f aca="false">SUM(G5:G29)</f>
        <v>48026</v>
      </c>
      <c r="H30" s="17"/>
      <c r="I30" s="19" t="n">
        <f aca="false">IFERROR(ROUND(E30/D30*100,2),0)</f>
        <v>84.48</v>
      </c>
      <c r="J30" s="18" t="n">
        <f aca="false">D30-E30</f>
        <v>8824</v>
      </c>
      <c r="K30" s="17"/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27</v>
      </c>
      <c r="B1" s="0" t="s">
        <v>28</v>
      </c>
      <c r="C1" s="0" t="s">
        <v>29</v>
      </c>
    </row>
    <row r="2" customFormat="false" ht="15" hidden="false" customHeight="false" outlineLevel="0" collapsed="false">
      <c r="A2" s="0" t="s">
        <v>13</v>
      </c>
      <c r="B2" s="0" t="n">
        <v>10200</v>
      </c>
      <c r="C2" s="0" t="n">
        <v>8921</v>
      </c>
    </row>
    <row r="3" customFormat="false" ht="15" hidden="false" customHeight="false" outlineLevel="0" collapsed="false">
      <c r="A3" s="0" t="s">
        <v>21</v>
      </c>
      <c r="B3" s="0" t="n">
        <v>9350</v>
      </c>
      <c r="C3" s="0" t="n">
        <v>6015</v>
      </c>
    </row>
    <row r="4" customFormat="false" ht="15" hidden="false" customHeight="false" outlineLevel="0" collapsed="false">
      <c r="A4" s="0" t="s">
        <v>23</v>
      </c>
      <c r="B4" s="0" t="n">
        <v>11300</v>
      </c>
      <c r="C4" s="0" t="n">
        <v>9940</v>
      </c>
    </row>
    <row r="5" customFormat="false" ht="15" hidden="false" customHeight="false" outlineLevel="0" collapsed="false">
      <c r="A5" s="0" t="s">
        <v>24</v>
      </c>
      <c r="B5" s="0" t="n">
        <v>12400</v>
      </c>
      <c r="C5" s="0" t="n">
        <v>11014</v>
      </c>
    </row>
    <row r="6" customFormat="false" ht="15" hidden="false" customHeight="false" outlineLevel="0" collapsed="false">
      <c r="A6" s="0" t="s">
        <v>25</v>
      </c>
      <c r="B6" s="0" t="n">
        <v>13600</v>
      </c>
      <c r="C6" s="0" t="n">
        <v>12136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6"/>
    <col collapsed="false" customWidth="true" hidden="false" outlineLevel="0" max="4" min="3" style="0" width="14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8"/>
    <col collapsed="false" customWidth="true" hidden="false" outlineLevel="0" max="8" min="8" style="0" width="24"/>
    <col collapsed="false" customWidth="true" hidden="false" outlineLevel="0" max="9" min="9" style="0" width="22"/>
  </cols>
  <sheetData>
    <row r="1" customFormat="false" ht="42" hidden="false" customHeight="true" outlineLevel="0" collapsed="false">
      <c r="A1" s="1" t="s">
        <v>30</v>
      </c>
      <c r="B1" s="1"/>
      <c r="C1" s="1"/>
      <c r="D1" s="1"/>
      <c r="E1" s="1"/>
      <c r="F1" s="1"/>
      <c r="G1" s="1"/>
      <c r="H1" s="1"/>
      <c r="I1" s="1"/>
    </row>
    <row r="2" customFormat="false" ht="18" hidden="false" customHeight="true" outlineLevel="0" collapsed="false">
      <c r="A2" s="2" t="s">
        <v>31</v>
      </c>
      <c r="B2" s="2"/>
      <c r="C2" s="2"/>
      <c r="D2" s="2"/>
      <c r="E2" s="2"/>
      <c r="F2" s="2"/>
      <c r="G2" s="2"/>
      <c r="H2" s="2"/>
      <c r="I2" s="2"/>
    </row>
    <row r="4" customFormat="false" ht="39.55" hidden="false" customHeight="false" outlineLevel="0" collapsed="false">
      <c r="A4" s="3" t="s">
        <v>2</v>
      </c>
      <c r="B4" s="3" t="s">
        <v>4</v>
      </c>
      <c r="C4" s="3" t="s">
        <v>32</v>
      </c>
      <c r="D4" s="3" t="s">
        <v>33</v>
      </c>
      <c r="E4" s="3" t="s">
        <v>34</v>
      </c>
      <c r="F4" s="3" t="s">
        <v>35</v>
      </c>
      <c r="G4" s="3" t="s">
        <v>36</v>
      </c>
      <c r="H4" s="3" t="s">
        <v>37</v>
      </c>
      <c r="I4" s="3" t="s">
        <v>38</v>
      </c>
    </row>
    <row r="5" customFormat="false" ht="15" hidden="false" customHeight="false" outlineLevel="0" collapsed="false">
      <c r="A5" s="4" t="s">
        <v>13</v>
      </c>
      <c r="B5" s="4" t="s">
        <v>39</v>
      </c>
      <c r="C5" s="20" t="n">
        <v>123.4</v>
      </c>
      <c r="D5" s="20" t="n">
        <v>119.8</v>
      </c>
      <c r="E5" s="20" t="n">
        <v>-3.6</v>
      </c>
      <c r="F5" s="6" t="n">
        <v>97.1</v>
      </c>
      <c r="G5" s="4" t="s">
        <v>16</v>
      </c>
      <c r="H5" s="7" t="n">
        <f aca="false">IFERROR(ROUND(D5/C5*100,2),0)</f>
        <v>97.08</v>
      </c>
      <c r="I5" s="21" t="n">
        <f aca="false">ROUND(C5-D5,1)</f>
        <v>3.6</v>
      </c>
    </row>
    <row r="6" customFormat="false" ht="15" hidden="false" customHeight="false" outlineLevel="0" collapsed="false">
      <c r="A6" s="10" t="s">
        <v>13</v>
      </c>
      <c r="B6" s="10" t="s">
        <v>15</v>
      </c>
      <c r="C6" s="22" t="n">
        <v>456.8</v>
      </c>
      <c r="D6" s="22" t="n">
        <v>432.1</v>
      </c>
      <c r="E6" s="22" t="n">
        <v>-24.7</v>
      </c>
      <c r="F6" s="12" t="n">
        <v>94.6</v>
      </c>
      <c r="G6" s="10" t="s">
        <v>16</v>
      </c>
      <c r="H6" s="13" t="n">
        <f aca="false">IFERROR(ROUND(D6/C6*100,2),0)</f>
        <v>94.59</v>
      </c>
      <c r="I6" s="23" t="n">
        <f aca="false">ROUND(C6-D6,1)</f>
        <v>24.7</v>
      </c>
    </row>
    <row r="7" customFormat="false" ht="15" hidden="false" customHeight="false" outlineLevel="0" collapsed="false">
      <c r="A7" s="4" t="s">
        <v>13</v>
      </c>
      <c r="B7" s="4" t="s">
        <v>18</v>
      </c>
      <c r="C7" s="20" t="n">
        <v>890.2</v>
      </c>
      <c r="D7" s="20" t="n">
        <v>867.4</v>
      </c>
      <c r="E7" s="20" t="n">
        <v>-22.8</v>
      </c>
      <c r="F7" s="6" t="n">
        <v>97.4</v>
      </c>
      <c r="G7" s="4" t="s">
        <v>16</v>
      </c>
      <c r="H7" s="7" t="n">
        <f aca="false">IFERROR(ROUND(D7/C7*100,2),0)</f>
        <v>97.44</v>
      </c>
      <c r="I7" s="21" t="n">
        <f aca="false">ROUND(C7-D7,1)</f>
        <v>22.8</v>
      </c>
    </row>
    <row r="8" customFormat="false" ht="15" hidden="false" customHeight="false" outlineLevel="0" collapsed="false">
      <c r="A8" s="10" t="s">
        <v>13</v>
      </c>
      <c r="B8" s="10" t="s">
        <v>19</v>
      </c>
      <c r="C8" s="22" t="n">
        <v>1245.6</v>
      </c>
      <c r="D8" s="22" t="n">
        <v>1089.3</v>
      </c>
      <c r="E8" s="22" t="n">
        <v>-156.3</v>
      </c>
      <c r="F8" s="12" t="n">
        <v>87.5</v>
      </c>
      <c r="G8" s="10" t="s">
        <v>40</v>
      </c>
      <c r="H8" s="13" t="n">
        <f aca="false">IFERROR(ROUND(D8/C8*100,2),0)</f>
        <v>87.45</v>
      </c>
      <c r="I8" s="23" t="n">
        <f aca="false">ROUND(C8-D8,1)</f>
        <v>156.3</v>
      </c>
    </row>
    <row r="9" customFormat="false" ht="15" hidden="false" customHeight="false" outlineLevel="0" collapsed="false">
      <c r="A9" s="4" t="s">
        <v>21</v>
      </c>
      <c r="B9" s="4" t="s">
        <v>39</v>
      </c>
      <c r="C9" s="20" t="n">
        <v>134.5</v>
      </c>
      <c r="D9" s="20" t="n">
        <v>128.9</v>
      </c>
      <c r="E9" s="20" t="n">
        <v>-5.6</v>
      </c>
      <c r="F9" s="6" t="n">
        <v>95.8</v>
      </c>
      <c r="G9" s="4" t="s">
        <v>16</v>
      </c>
      <c r="H9" s="7" t="n">
        <f aca="false">IFERROR(ROUND(D9/C9*100,2),0)</f>
        <v>95.84</v>
      </c>
      <c r="I9" s="21" t="n">
        <f aca="false">ROUND(C9-D9,1)</f>
        <v>5.6</v>
      </c>
    </row>
    <row r="10" customFormat="false" ht="15" hidden="false" customHeight="false" outlineLevel="0" collapsed="false">
      <c r="A10" s="10" t="s">
        <v>21</v>
      </c>
      <c r="B10" s="10" t="s">
        <v>15</v>
      </c>
      <c r="C10" s="22" t="n">
        <v>489.6</v>
      </c>
      <c r="D10" s="22" t="n">
        <v>378.2</v>
      </c>
      <c r="E10" s="22" t="n">
        <v>-111.4</v>
      </c>
      <c r="F10" s="12" t="n">
        <v>77.2</v>
      </c>
      <c r="G10" s="24" t="s">
        <v>22</v>
      </c>
      <c r="H10" s="13" t="n">
        <f aca="false">IFERROR(ROUND(D10/C10*100,2),0)</f>
        <v>77.25</v>
      </c>
      <c r="I10" s="23" t="n">
        <f aca="false">ROUND(C10-D10,1)</f>
        <v>111.4</v>
      </c>
    </row>
    <row r="11" customFormat="false" ht="15" hidden="false" customHeight="false" outlineLevel="0" collapsed="false">
      <c r="A11" s="4" t="s">
        <v>21</v>
      </c>
      <c r="B11" s="4" t="s">
        <v>18</v>
      </c>
      <c r="C11" s="20" t="n">
        <v>945.8</v>
      </c>
      <c r="D11" s="20" t="n">
        <v>756.3</v>
      </c>
      <c r="E11" s="20" t="n">
        <v>-189.5</v>
      </c>
      <c r="F11" s="6" t="n">
        <v>79.9</v>
      </c>
      <c r="G11" s="24" t="s">
        <v>22</v>
      </c>
      <c r="H11" s="7" t="n">
        <f aca="false">IFERROR(ROUND(D11/C11*100,2),0)</f>
        <v>79.96</v>
      </c>
      <c r="I11" s="21" t="n">
        <f aca="false">ROUND(C11-D11,1)</f>
        <v>189.5</v>
      </c>
    </row>
    <row r="12" customFormat="false" ht="15" hidden="false" customHeight="false" outlineLevel="0" collapsed="false">
      <c r="A12" s="10" t="s">
        <v>21</v>
      </c>
      <c r="B12" s="10" t="s">
        <v>19</v>
      </c>
      <c r="C12" s="22" t="n">
        <v>1312.3</v>
      </c>
      <c r="D12" s="22" t="n">
        <v>934.5</v>
      </c>
      <c r="E12" s="22" t="n">
        <v>-377.8</v>
      </c>
      <c r="F12" s="12" t="n">
        <v>71.2</v>
      </c>
      <c r="G12" s="24" t="s">
        <v>22</v>
      </c>
      <c r="H12" s="13" t="n">
        <f aca="false">IFERROR(ROUND(D12/C12*100,2),0)</f>
        <v>71.21</v>
      </c>
      <c r="I12" s="23" t="n">
        <f aca="false">ROUND(C12-D12,1)</f>
        <v>377.8</v>
      </c>
    </row>
    <row r="13" customFormat="false" ht="15" hidden="false" customHeight="false" outlineLevel="0" collapsed="false">
      <c r="A13" s="4" t="s">
        <v>23</v>
      </c>
      <c r="B13" s="4" t="s">
        <v>39</v>
      </c>
      <c r="C13" s="20" t="n">
        <v>145.6</v>
      </c>
      <c r="D13" s="20" t="n">
        <v>141.2</v>
      </c>
      <c r="E13" s="20" t="n">
        <v>-4.4</v>
      </c>
      <c r="F13" s="6" t="n">
        <v>97</v>
      </c>
      <c r="G13" s="4" t="s">
        <v>16</v>
      </c>
      <c r="H13" s="7" t="n">
        <f aca="false">IFERROR(ROUND(D13/C13*100,2),0)</f>
        <v>96.98</v>
      </c>
      <c r="I13" s="21" t="n">
        <f aca="false">ROUND(C13-D13,1)</f>
        <v>4.4</v>
      </c>
    </row>
    <row r="14" customFormat="false" ht="15" hidden="false" customHeight="false" outlineLevel="0" collapsed="false">
      <c r="A14" s="10" t="s">
        <v>23</v>
      </c>
      <c r="B14" s="10" t="s">
        <v>15</v>
      </c>
      <c r="C14" s="22" t="n">
        <v>512.3</v>
      </c>
      <c r="D14" s="22" t="n">
        <v>489.6</v>
      </c>
      <c r="E14" s="22" t="n">
        <v>-22.7</v>
      </c>
      <c r="F14" s="12" t="n">
        <v>95.6</v>
      </c>
      <c r="G14" s="10" t="s">
        <v>16</v>
      </c>
      <c r="H14" s="13" t="n">
        <f aca="false">IFERROR(ROUND(D14/C14*100,2),0)</f>
        <v>95.57</v>
      </c>
      <c r="I14" s="23" t="n">
        <f aca="false">ROUND(C14-D14,1)</f>
        <v>22.7</v>
      </c>
    </row>
    <row r="15" customFormat="false" ht="15" hidden="false" customHeight="false" outlineLevel="0" collapsed="false">
      <c r="A15" s="4" t="s">
        <v>23</v>
      </c>
      <c r="B15" s="4" t="s">
        <v>18</v>
      </c>
      <c r="C15" s="20" t="n">
        <v>1023.4</v>
      </c>
      <c r="D15" s="20" t="n">
        <v>989.2</v>
      </c>
      <c r="E15" s="20" t="n">
        <v>-34.2</v>
      </c>
      <c r="F15" s="6" t="n">
        <v>96.7</v>
      </c>
      <c r="G15" s="4" t="s">
        <v>16</v>
      </c>
      <c r="H15" s="7" t="n">
        <f aca="false">IFERROR(ROUND(D15/C15*100,2),0)</f>
        <v>96.66</v>
      </c>
      <c r="I15" s="21" t="n">
        <f aca="false">ROUND(C15-D15,1)</f>
        <v>34.2</v>
      </c>
    </row>
    <row r="16" customFormat="false" ht="15" hidden="false" customHeight="false" outlineLevel="0" collapsed="false">
      <c r="A16" s="10" t="s">
        <v>23</v>
      </c>
      <c r="B16" s="10" t="s">
        <v>19</v>
      </c>
      <c r="C16" s="22" t="n">
        <v>1456.7</v>
      </c>
      <c r="D16" s="22" t="n">
        <v>1234.5</v>
      </c>
      <c r="E16" s="22" t="n">
        <v>-222.2</v>
      </c>
      <c r="F16" s="12" t="n">
        <v>84.7</v>
      </c>
      <c r="G16" s="10" t="s">
        <v>40</v>
      </c>
      <c r="H16" s="13" t="n">
        <f aca="false">IFERROR(ROUND(D16/C16*100,2),0)</f>
        <v>84.75</v>
      </c>
      <c r="I16" s="23" t="n">
        <f aca="false">ROUND(C16-D16,1)</f>
        <v>222.2</v>
      </c>
    </row>
    <row r="17" customFormat="false" ht="15" hidden="false" customHeight="false" outlineLevel="0" collapsed="false">
      <c r="A17" s="4" t="s">
        <v>24</v>
      </c>
      <c r="B17" s="4" t="s">
        <v>39</v>
      </c>
      <c r="C17" s="20" t="n">
        <v>156.7</v>
      </c>
      <c r="D17" s="20" t="n">
        <v>152.3</v>
      </c>
      <c r="E17" s="20" t="n">
        <v>-4.4</v>
      </c>
      <c r="F17" s="6" t="n">
        <v>97.2</v>
      </c>
      <c r="G17" s="4" t="s">
        <v>16</v>
      </c>
      <c r="H17" s="7" t="n">
        <f aca="false">IFERROR(ROUND(D17/C17*100,2),0)</f>
        <v>97.19</v>
      </c>
      <c r="I17" s="21" t="n">
        <f aca="false">ROUND(C17-D17,1)</f>
        <v>4.4</v>
      </c>
    </row>
    <row r="18" customFormat="false" ht="15" hidden="false" customHeight="false" outlineLevel="0" collapsed="false">
      <c r="A18" s="10" t="s">
        <v>24</v>
      </c>
      <c r="B18" s="10" t="s">
        <v>15</v>
      </c>
      <c r="C18" s="22" t="n">
        <v>567.8</v>
      </c>
      <c r="D18" s="22" t="n">
        <v>545.3</v>
      </c>
      <c r="E18" s="22" t="n">
        <v>-22.5</v>
      </c>
      <c r="F18" s="12" t="n">
        <v>96</v>
      </c>
      <c r="G18" s="10" t="s">
        <v>16</v>
      </c>
      <c r="H18" s="13" t="n">
        <f aca="false">IFERROR(ROUND(D18/C18*100,2),0)</f>
        <v>96.04</v>
      </c>
      <c r="I18" s="23" t="n">
        <f aca="false">ROUND(C18-D18,1)</f>
        <v>22.5</v>
      </c>
    </row>
    <row r="19" customFormat="false" ht="15" hidden="false" customHeight="false" outlineLevel="0" collapsed="false">
      <c r="A19" s="4" t="s">
        <v>24</v>
      </c>
      <c r="B19" s="4" t="s">
        <v>18</v>
      </c>
      <c r="C19" s="20" t="n">
        <v>1145.6</v>
      </c>
      <c r="D19" s="20" t="n">
        <v>1089.3</v>
      </c>
      <c r="E19" s="20" t="n">
        <v>-56.3</v>
      </c>
      <c r="F19" s="6" t="n">
        <v>95.1</v>
      </c>
      <c r="G19" s="4" t="s">
        <v>16</v>
      </c>
      <c r="H19" s="7" t="n">
        <f aca="false">IFERROR(ROUND(D19/C19*100,2),0)</f>
        <v>95.09</v>
      </c>
      <c r="I19" s="21" t="n">
        <f aca="false">ROUND(C19-D19,1)</f>
        <v>56.3</v>
      </c>
    </row>
    <row r="20" customFormat="false" ht="15" hidden="false" customHeight="false" outlineLevel="0" collapsed="false">
      <c r="A20" s="10" t="s">
        <v>24</v>
      </c>
      <c r="B20" s="10" t="s">
        <v>19</v>
      </c>
      <c r="C20" s="22" t="n">
        <v>1589.3</v>
      </c>
      <c r="D20" s="22" t="n">
        <v>1423.6</v>
      </c>
      <c r="E20" s="22" t="n">
        <v>-165.7</v>
      </c>
      <c r="F20" s="12" t="n">
        <v>89.6</v>
      </c>
      <c r="G20" s="10" t="s">
        <v>40</v>
      </c>
      <c r="H20" s="13" t="n">
        <f aca="false">IFERROR(ROUND(D20/C20*100,2),0)</f>
        <v>89.57</v>
      </c>
      <c r="I20" s="23" t="n">
        <f aca="false">ROUND(C20-D20,1)</f>
        <v>165.7</v>
      </c>
    </row>
    <row r="21" customFormat="false" ht="15" hidden="false" customHeight="false" outlineLevel="0" collapsed="false">
      <c r="A21" s="4" t="s">
        <v>25</v>
      </c>
      <c r="B21" s="4" t="s">
        <v>39</v>
      </c>
      <c r="C21" s="20" t="n">
        <v>167.8</v>
      </c>
      <c r="D21" s="20" t="n">
        <v>163.4</v>
      </c>
      <c r="E21" s="20" t="n">
        <v>-4.4</v>
      </c>
      <c r="F21" s="6" t="n">
        <v>97.4</v>
      </c>
      <c r="G21" s="4" t="s">
        <v>16</v>
      </c>
      <c r="H21" s="7" t="n">
        <f aca="false">IFERROR(ROUND(D21/C21*100,2),0)</f>
        <v>97.38</v>
      </c>
      <c r="I21" s="21" t="n">
        <f aca="false">ROUND(C21-D21,1)</f>
        <v>4.4</v>
      </c>
    </row>
    <row r="22" customFormat="false" ht="15" hidden="false" customHeight="false" outlineLevel="0" collapsed="false">
      <c r="A22" s="10" t="s">
        <v>25</v>
      </c>
      <c r="B22" s="10" t="s">
        <v>15</v>
      </c>
      <c r="C22" s="22" t="n">
        <v>623.4</v>
      </c>
      <c r="D22" s="22" t="n">
        <v>601.2</v>
      </c>
      <c r="E22" s="22" t="n">
        <v>-22.2</v>
      </c>
      <c r="F22" s="12" t="n">
        <v>96.4</v>
      </c>
      <c r="G22" s="10" t="s">
        <v>16</v>
      </c>
      <c r="H22" s="13" t="n">
        <f aca="false">IFERROR(ROUND(D22/C22*100,2),0)</f>
        <v>96.44</v>
      </c>
      <c r="I22" s="23" t="n">
        <f aca="false">ROUND(C22-D22,1)</f>
        <v>22.2</v>
      </c>
    </row>
    <row r="23" customFormat="false" ht="15" hidden="false" customHeight="false" outlineLevel="0" collapsed="false">
      <c r="A23" s="4" t="s">
        <v>25</v>
      </c>
      <c r="B23" s="4" t="s">
        <v>18</v>
      </c>
      <c r="C23" s="20" t="n">
        <v>1267.8</v>
      </c>
      <c r="D23" s="20" t="n">
        <v>1198.4</v>
      </c>
      <c r="E23" s="20" t="n">
        <v>-69.4</v>
      </c>
      <c r="F23" s="6" t="n">
        <v>94.5</v>
      </c>
      <c r="G23" s="4" t="s">
        <v>16</v>
      </c>
      <c r="H23" s="7" t="n">
        <f aca="false">IFERROR(ROUND(D23/C23*100,2),0)</f>
        <v>94.53</v>
      </c>
      <c r="I23" s="21" t="n">
        <f aca="false">ROUND(C23-D23,1)</f>
        <v>69.4</v>
      </c>
    </row>
    <row r="24" customFormat="false" ht="15" hidden="false" customHeight="false" outlineLevel="0" collapsed="false">
      <c r="A24" s="10" t="s">
        <v>25</v>
      </c>
      <c r="B24" s="10" t="s">
        <v>19</v>
      </c>
      <c r="C24" s="22" t="n">
        <v>1723.4</v>
      </c>
      <c r="D24" s="22" t="n">
        <v>1567.8</v>
      </c>
      <c r="E24" s="22" t="n">
        <v>-155.6</v>
      </c>
      <c r="F24" s="12" t="n">
        <v>90.9</v>
      </c>
      <c r="G24" s="10" t="s">
        <v>40</v>
      </c>
      <c r="H24" s="13" t="n">
        <f aca="false">IFERROR(ROUND(D24/C24*100,2),0)</f>
        <v>90.97</v>
      </c>
      <c r="I24" s="23" t="n">
        <f aca="false">ROUND(C24-D24,1)</f>
        <v>155.6</v>
      </c>
    </row>
    <row r="25" customFormat="false" ht="23.85" hidden="false" customHeight="false" outlineLevel="0" collapsed="false">
      <c r="A25" s="17" t="s">
        <v>26</v>
      </c>
      <c r="B25" s="17"/>
      <c r="C25" s="25" t="n">
        <f aca="false">SUM(C5:C24)</f>
        <v>15978</v>
      </c>
      <c r="D25" s="25" t="n">
        <f aca="false">SUM(D5:D24)</f>
        <v>14302.3</v>
      </c>
      <c r="E25" s="25" t="n">
        <f aca="false">SUM(E5:E24)</f>
        <v>-1675.7</v>
      </c>
      <c r="F25" s="26" t="n">
        <f aca="false">AVERAGE(F5:F24)</f>
        <v>91.59</v>
      </c>
      <c r="G25" s="17"/>
      <c r="H25" s="19" t="n">
        <f aca="false">IFERROR(ROUND(D25/C25*100,2),0)</f>
        <v>89.51</v>
      </c>
      <c r="I25" s="17"/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2026-05-06T04:01:26Z</dcterms:created>
  <dc:creator>openpyxl</dc:creator>
  <dc:description/>
  <dc:language>en-US</dc:language>
  <cp:lastModifiedBy/>
  <dcterms:modified xsi:type="dcterms:W3CDTF">2026-05-06T04:01:32Z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